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data-collection-website-kenbright-re/Resources/"/>
    </mc:Choice>
  </mc:AlternateContent>
  <xr:revisionPtr revIDLastSave="59" documentId="13_ncr:1_{A75E4BEC-1B3B-4805-87D2-7A55FF478BDF}" xr6:coauthVersionLast="47" xr6:coauthVersionMax="47" xr10:uidLastSave="{C8B930EE-D116-4B68-B647-3C5A1AAC9B26}"/>
  <bookViews>
    <workbookView xWindow="9015" yWindow="2850" windowWidth="21600" windowHeight="12645" tabRatio="701" activeTab="10" xr2:uid="{29BC96EE-FECF-448E-BB2E-CA765B0E369F}"/>
  </bookViews>
  <sheets>
    <sheet name="Header" sheetId="20" r:id="rId1"/>
    <sheet name="Data Requirements" sheetId="9" state="hidden" r:id="rId2"/>
    <sheet name="Treaty Statistics_Prop" sheetId="10" state="hidden" r:id="rId3"/>
    <sheet name="Treaty Statistics_PropCC" sheetId="27" state="hidden" r:id="rId4"/>
    <sheet name="Treaty Statistics_Non-Prop" sheetId="24" state="hidden" r:id="rId5"/>
    <sheet name="Rate Development" sheetId="11" state="hidden" r:id="rId6"/>
    <sheet name="Rate Development_Motor Specific" sheetId="25" state="hidden" r:id="rId7"/>
    <sheet name="Max UW Limit Development" sheetId="12" state="hidden" r:id="rId8"/>
    <sheet name="Number of Risks Development" sheetId="21" state="hidden" r:id="rId9"/>
    <sheet name="Risk Profile" sheetId="13" state="hidden" r:id="rId10"/>
    <sheet name="Large Loss List" sheetId="14" r:id="rId11"/>
    <sheet name="Large Loss Triangulation" sheetId="16" state="hidden" r:id="rId12"/>
    <sheet name="Aggregate Triangulation" sheetId="15" state="hidden" r:id="rId13"/>
    <sheet name="CAT Loss Triangulation" sheetId="23" state="hidden" r:id="rId14"/>
    <sheet name="Cresta Zone Control" sheetId="17" state="hidden" r:id="rId15"/>
    <sheet name="Top 20 Risks" sheetId="18" state="hidden" r:id="rId16"/>
    <sheet name="Motor Fleet List" sheetId="26" state="hidden" r:id="rId17"/>
    <sheet name="Back" sheetId="19" state="hidden" r:id="rId18"/>
    <sheet name="Notes" sheetId="1" state="hidden" r:id="rId19"/>
  </sheet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1" i="9" l="1"/>
  <c r="B22" i="9" s="1"/>
  <c r="B23" i="9" s="1"/>
  <c r="B24" i="9" s="1"/>
  <c r="B25" i="9" s="1"/>
  <c r="B26" i="9" s="1"/>
  <c r="B27" i="9" s="1"/>
  <c r="B28" i="9" s="1"/>
  <c r="B29" i="9" s="1"/>
  <c r="B30" i="9" s="1"/>
  <c r="B31" i="9" s="1"/>
  <c r="B32" i="9" s="1"/>
  <c r="B33" i="9" s="1"/>
  <c r="B34" i="9" s="1"/>
  <c r="B35" i="9" s="1"/>
  <c r="B36" i="9" s="1"/>
  <c r="B37" i="9" s="1"/>
  <c r="C7" i="26"/>
  <c r="C8" i="26"/>
  <c r="C9" i="26"/>
  <c r="C10" i="26"/>
  <c r="C11" i="26"/>
  <c r="C34" i="26"/>
  <c r="D34" i="26"/>
  <c r="E34" i="26"/>
  <c r="F34" i="26"/>
  <c r="G34" i="26"/>
  <c r="H34" i="26"/>
  <c r="I34" i="26"/>
  <c r="J34" i="26"/>
  <c r="K34" i="26"/>
  <c r="L34" i="26"/>
  <c r="M34" i="26"/>
  <c r="L23" i="25"/>
  <c r="K23" i="25"/>
  <c r="J23" i="25" s="1"/>
  <c r="I23" i="25" s="1"/>
  <c r="H23" i="25" s="1"/>
  <c r="G23" i="25" s="1"/>
  <c r="F23" i="25" s="1"/>
  <c r="E23" i="25" s="1"/>
  <c r="D23" i="25" s="1"/>
  <c r="E21" i="25"/>
  <c r="F21" i="25" s="1"/>
  <c r="G21" i="25" s="1"/>
  <c r="H21" i="25" s="1"/>
  <c r="I21" i="25" s="1"/>
  <c r="J21" i="25" s="1"/>
  <c r="K21" i="25" s="1"/>
  <c r="L21" i="25" s="1"/>
  <c r="M21" i="25" s="1"/>
  <c r="M16" i="25"/>
  <c r="L16" i="25" s="1"/>
  <c r="K16" i="25" s="1"/>
  <c r="J16" i="25" s="1"/>
  <c r="I16" i="25" s="1"/>
  <c r="H16" i="25" s="1"/>
  <c r="G16" i="25" s="1"/>
  <c r="F16" i="25" s="1"/>
  <c r="E16" i="25" s="1"/>
  <c r="D16" i="25" s="1"/>
  <c r="C16" i="25" s="1"/>
  <c r="D11" i="25"/>
  <c r="D10" i="25"/>
  <c r="D9" i="25"/>
  <c r="D8" i="25"/>
  <c r="D7" i="25"/>
  <c r="D11" i="24"/>
  <c r="D10" i="24"/>
  <c r="D9" i="24"/>
  <c r="D8" i="24"/>
  <c r="D7" i="24"/>
  <c r="C14" i="25" l="1"/>
  <c r="D14" i="25" s="1"/>
  <c r="E14" i="25" s="1"/>
  <c r="F14" i="25" s="1"/>
  <c r="G14" i="25" s="1"/>
  <c r="H14" i="25" s="1"/>
  <c r="I14" i="25" s="1"/>
  <c r="J14" i="25" s="1"/>
  <c r="K14" i="25" s="1"/>
  <c r="L14" i="25" s="1"/>
  <c r="M14" i="25" s="1"/>
  <c r="N14" i="25" s="1"/>
  <c r="C27" i="25"/>
  <c r="D27" i="25" s="1"/>
  <c r="E27" i="25" s="1"/>
  <c r="F27" i="25" s="1"/>
  <c r="G27" i="25" s="1"/>
  <c r="H27" i="25" s="1"/>
  <c r="I27" i="25" s="1"/>
  <c r="J27" i="25" s="1"/>
  <c r="K27" i="25" s="1"/>
  <c r="L27" i="25" s="1"/>
  <c r="M27" i="25" s="1"/>
  <c r="N27" i="25" s="1"/>
  <c r="F19" i="13" l="1"/>
  <c r="F20" i="13"/>
  <c r="F21" i="13"/>
  <c r="F22" i="13"/>
  <c r="F23" i="13"/>
  <c r="F24" i="13"/>
  <c r="F25" i="13"/>
  <c r="F26" i="13"/>
  <c r="F27" i="13"/>
  <c r="F28" i="13"/>
  <c r="F29" i="13"/>
  <c r="F30" i="13"/>
  <c r="F31" i="13"/>
  <c r="F32" i="13"/>
  <c r="F33" i="13"/>
  <c r="B7" i="9" l="1"/>
  <c r="B8" i="9" s="1"/>
  <c r="B9" i="9" s="1"/>
  <c r="B10" i="9" s="1"/>
  <c r="B11" i="9" l="1"/>
  <c r="B12" i="9" s="1"/>
  <c r="B13" i="9" s="1"/>
  <c r="B14" i="9" s="1"/>
  <c r="B15" i="9" s="1"/>
  <c r="B16" i="9" s="1"/>
  <c r="D7" i="18"/>
  <c r="D7" i="17"/>
  <c r="D7" i="23"/>
  <c r="D7" i="16"/>
  <c r="D7" i="15"/>
  <c r="D7" i="14"/>
  <c r="E7" i="13"/>
  <c r="D7" i="21"/>
  <c r="D7" i="12"/>
  <c r="D7" i="11"/>
  <c r="D7" i="10"/>
  <c r="D11" i="18"/>
  <c r="D11" i="17"/>
  <c r="D11" i="23"/>
  <c r="D11" i="16"/>
  <c r="D11" i="15"/>
  <c r="D11" i="14"/>
  <c r="E11" i="13"/>
  <c r="D11" i="21"/>
  <c r="D11" i="12"/>
  <c r="D11" i="11"/>
  <c r="D11" i="10"/>
  <c r="D10" i="18"/>
  <c r="D10" i="17"/>
  <c r="D10" i="23"/>
  <c r="D10" i="16"/>
  <c r="D10" i="15"/>
  <c r="D10" i="14"/>
  <c r="E10" i="13"/>
  <c r="D10" i="21"/>
  <c r="D10" i="12"/>
  <c r="D10" i="11"/>
  <c r="D10" i="10"/>
  <c r="D8" i="18" l="1"/>
  <c r="D9" i="18"/>
  <c r="D8" i="17"/>
  <c r="D9" i="17"/>
  <c r="D8" i="23"/>
  <c r="D9" i="23"/>
  <c r="D8" i="16"/>
  <c r="D9" i="16"/>
  <c r="D8" i="15"/>
  <c r="D9" i="15"/>
  <c r="D8" i="14"/>
  <c r="D9" i="14"/>
  <c r="E8" i="13"/>
  <c r="E9" i="13"/>
  <c r="D8" i="21"/>
  <c r="D9" i="21"/>
  <c r="D8" i="12"/>
  <c r="D9" i="12"/>
  <c r="D8" i="11"/>
  <c r="D9" i="11"/>
  <c r="D8" i="10"/>
  <c r="D9" i="10"/>
  <c r="B36" i="23"/>
  <c r="B33" i="23" s="1"/>
  <c r="B30" i="23" s="1"/>
  <c r="B27" i="23" s="1"/>
  <c r="B24" i="23" s="1"/>
  <c r="B21" i="23" s="1"/>
  <c r="B18" i="23" s="1"/>
  <c r="C84" i="15"/>
  <c r="C83" i="15" s="1"/>
  <c r="C82" i="15" s="1"/>
  <c r="C81" i="15" s="1"/>
  <c r="C80" i="15" s="1"/>
  <c r="C79" i="15" s="1"/>
  <c r="C78" i="15" s="1"/>
  <c r="C77" i="15" s="1"/>
  <c r="C76" i="15" s="1"/>
  <c r="C75" i="15" s="1"/>
  <c r="C14" i="21"/>
  <c r="D14" i="21" s="1"/>
  <c r="E14" i="21" s="1"/>
  <c r="F14" i="21" s="1"/>
  <c r="G14" i="21" s="1"/>
  <c r="H14" i="21" s="1"/>
  <c r="I14" i="21" s="1"/>
  <c r="J14" i="21" s="1"/>
  <c r="K14" i="21" s="1"/>
  <c r="L14" i="21" s="1"/>
  <c r="M14" i="21" s="1"/>
  <c r="N14" i="21" s="1"/>
  <c r="C14" i="12"/>
  <c r="C14" i="11"/>
  <c r="G20" i="23"/>
  <c r="J20" i="23"/>
  <c r="M20" i="23"/>
  <c r="P20" i="23"/>
  <c r="S20" i="23"/>
  <c r="V20" i="23"/>
  <c r="G38" i="23"/>
  <c r="G37" i="23"/>
  <c r="G36" i="23"/>
  <c r="J35" i="23"/>
  <c r="G35" i="23"/>
  <c r="J34" i="23"/>
  <c r="G34" i="23"/>
  <c r="J33" i="23"/>
  <c r="G33" i="23"/>
  <c r="M32" i="23"/>
  <c r="J32" i="23"/>
  <c r="G32" i="23"/>
  <c r="M31" i="23"/>
  <c r="J31" i="23"/>
  <c r="G31" i="23"/>
  <c r="M30" i="23"/>
  <c r="J30" i="23"/>
  <c r="G30" i="23"/>
  <c r="P29" i="23"/>
  <c r="M29" i="23"/>
  <c r="J29" i="23"/>
  <c r="G29" i="23"/>
  <c r="P28" i="23"/>
  <c r="M28" i="23"/>
  <c r="J28" i="23"/>
  <c r="G28" i="23"/>
  <c r="P27" i="23"/>
  <c r="M27" i="23"/>
  <c r="J27" i="23"/>
  <c r="G27" i="23"/>
  <c r="S26" i="23"/>
  <c r="P26" i="23"/>
  <c r="M26" i="23"/>
  <c r="J26" i="23"/>
  <c r="G26" i="23"/>
  <c r="S25" i="23"/>
  <c r="P25" i="23"/>
  <c r="M25" i="23"/>
  <c r="J25" i="23"/>
  <c r="G25" i="23"/>
  <c r="S24" i="23"/>
  <c r="P24" i="23"/>
  <c r="M24" i="23"/>
  <c r="J24" i="23"/>
  <c r="G24" i="23"/>
  <c r="V23" i="23"/>
  <c r="S23" i="23"/>
  <c r="P23" i="23"/>
  <c r="M23" i="23"/>
  <c r="J23" i="23"/>
  <c r="G23" i="23"/>
  <c r="V22" i="23"/>
  <c r="S22" i="23"/>
  <c r="P22" i="23"/>
  <c r="M22" i="23"/>
  <c r="J22" i="23"/>
  <c r="G22" i="23"/>
  <c r="V21" i="23"/>
  <c r="S21" i="23"/>
  <c r="P21" i="23"/>
  <c r="M21" i="23"/>
  <c r="J21" i="23"/>
  <c r="G21" i="23"/>
  <c r="Y19" i="23"/>
  <c r="V19" i="23"/>
  <c r="S19" i="23"/>
  <c r="P19" i="23"/>
  <c r="M19" i="23"/>
  <c r="J19" i="23"/>
  <c r="G19" i="23"/>
  <c r="Y18" i="23"/>
  <c r="V18" i="23"/>
  <c r="S18" i="23"/>
  <c r="P18" i="23"/>
  <c r="M18" i="23"/>
  <c r="J18" i="23"/>
  <c r="G18" i="23"/>
  <c r="B19" i="17"/>
  <c r="B20" i="17" s="1"/>
  <c r="B21" i="17" s="1"/>
  <c r="B22" i="17" s="1"/>
  <c r="B23" i="17" s="1"/>
  <c r="B24" i="17" s="1"/>
  <c r="B25" i="17" s="1"/>
  <c r="B26" i="17" s="1"/>
  <c r="B27" i="17" s="1"/>
  <c r="B28" i="17" s="1"/>
  <c r="B29" i="17" s="1"/>
  <c r="B30" i="17" s="1"/>
  <c r="B31" i="17" s="1"/>
  <c r="B32" i="17" s="1"/>
  <c r="B33" i="17" s="1"/>
  <c r="B34" i="17" s="1"/>
  <c r="B35" i="17" s="1"/>
  <c r="B36" i="17" s="1"/>
  <c r="C48" i="15"/>
  <c r="C47" i="15" s="1"/>
  <c r="C46" i="15" s="1"/>
  <c r="C45" i="15" s="1"/>
  <c r="C44" i="15" s="1"/>
  <c r="C43" i="15" s="1"/>
  <c r="C42" i="15" s="1"/>
  <c r="C41" i="15" s="1"/>
  <c r="C40" i="15" s="1"/>
  <c r="C39" i="15" s="1"/>
  <c r="C36" i="15"/>
  <c r="C35" i="15" s="1"/>
  <c r="C34" i="15" s="1"/>
  <c r="C33" i="15" s="1"/>
  <c r="C32" i="15" s="1"/>
  <c r="C31" i="15" s="1"/>
  <c r="C30" i="15" s="1"/>
  <c r="C29" i="15" s="1"/>
  <c r="C28" i="15" s="1"/>
  <c r="C27" i="15" s="1"/>
  <c r="D63" i="15"/>
  <c r="D75" i="15" s="1"/>
  <c r="E63" i="15"/>
  <c r="E75" i="15" s="1"/>
  <c r="F63" i="15"/>
  <c r="F75" i="15" s="1"/>
  <c r="G63" i="15"/>
  <c r="G75" i="15" s="1"/>
  <c r="H63" i="15"/>
  <c r="H75" i="15" s="1"/>
  <c r="I63" i="15"/>
  <c r="I75" i="15" s="1"/>
  <c r="J63" i="15"/>
  <c r="J75" i="15" s="1"/>
  <c r="K63" i="15"/>
  <c r="K75" i="15" s="1"/>
  <c r="L63" i="15"/>
  <c r="L75" i="15" s="1"/>
  <c r="M63" i="15"/>
  <c r="M75" i="15" s="1"/>
  <c r="D64" i="15"/>
  <c r="D76" i="15" s="1"/>
  <c r="E64" i="15"/>
  <c r="E76" i="15" s="1"/>
  <c r="F64" i="15"/>
  <c r="F76" i="15" s="1"/>
  <c r="G64" i="15"/>
  <c r="G76" i="15" s="1"/>
  <c r="H64" i="15"/>
  <c r="H76" i="15" s="1"/>
  <c r="I64" i="15"/>
  <c r="I76" i="15" s="1"/>
  <c r="J64" i="15"/>
  <c r="J76" i="15" s="1"/>
  <c r="K64" i="15"/>
  <c r="K76" i="15" s="1"/>
  <c r="L64" i="15"/>
  <c r="L76" i="15" s="1"/>
  <c r="D65" i="15"/>
  <c r="D77" i="15" s="1"/>
  <c r="E65" i="15"/>
  <c r="E77" i="15" s="1"/>
  <c r="F65" i="15"/>
  <c r="F77" i="15" s="1"/>
  <c r="G65" i="15"/>
  <c r="G77" i="15" s="1"/>
  <c r="H65" i="15"/>
  <c r="H77" i="15" s="1"/>
  <c r="I65" i="15"/>
  <c r="I77" i="15" s="1"/>
  <c r="J65" i="15"/>
  <c r="J77" i="15" s="1"/>
  <c r="K65" i="15"/>
  <c r="K77" i="15" s="1"/>
  <c r="D66" i="15"/>
  <c r="D78" i="15" s="1"/>
  <c r="E66" i="15"/>
  <c r="E78" i="15" s="1"/>
  <c r="F66" i="15"/>
  <c r="F78" i="15" s="1"/>
  <c r="G66" i="15"/>
  <c r="G78" i="15" s="1"/>
  <c r="H66" i="15"/>
  <c r="H78" i="15" s="1"/>
  <c r="I66" i="15"/>
  <c r="I78" i="15" s="1"/>
  <c r="J66" i="15"/>
  <c r="J78" i="15" s="1"/>
  <c r="D67" i="15"/>
  <c r="D79" i="15" s="1"/>
  <c r="E67" i="15"/>
  <c r="E79" i="15" s="1"/>
  <c r="F67" i="15"/>
  <c r="F79" i="15" s="1"/>
  <c r="G67" i="15"/>
  <c r="G79" i="15" s="1"/>
  <c r="H67" i="15"/>
  <c r="H79" i="15" s="1"/>
  <c r="I67" i="15"/>
  <c r="I79" i="15" s="1"/>
  <c r="D68" i="15"/>
  <c r="D80" i="15" s="1"/>
  <c r="E68" i="15"/>
  <c r="E80" i="15" s="1"/>
  <c r="F68" i="15"/>
  <c r="F80" i="15" s="1"/>
  <c r="G68" i="15"/>
  <c r="G80" i="15" s="1"/>
  <c r="H68" i="15"/>
  <c r="H80" i="15" s="1"/>
  <c r="D69" i="15"/>
  <c r="D81" i="15" s="1"/>
  <c r="E69" i="15"/>
  <c r="E81" i="15" s="1"/>
  <c r="F69" i="15"/>
  <c r="F81" i="15" s="1"/>
  <c r="G69" i="15"/>
  <c r="G81" i="15" s="1"/>
  <c r="D70" i="15"/>
  <c r="D82" i="15" s="1"/>
  <c r="E70" i="15"/>
  <c r="E82" i="15" s="1"/>
  <c r="F70" i="15"/>
  <c r="F82" i="15" s="1"/>
  <c r="D71" i="15"/>
  <c r="D83" i="15" s="1"/>
  <c r="E71" i="15"/>
  <c r="E83" i="15" s="1"/>
  <c r="D72" i="15"/>
  <c r="D84" i="15" s="1"/>
  <c r="D120" i="15"/>
  <c r="D122" i="15" s="1"/>
  <c r="B116" i="15"/>
  <c r="D121" i="15" l="1"/>
  <c r="D123" i="15" s="1"/>
  <c r="C24" i="15"/>
  <c r="C23" i="15" s="1"/>
  <c r="C22" i="15" s="1"/>
  <c r="C21" i="15" s="1"/>
  <c r="C20" i="15" s="1"/>
  <c r="C19" i="15" s="1"/>
  <c r="C18" i="15" s="1"/>
  <c r="C17" i="15" s="1"/>
  <c r="C16" i="15" s="1"/>
  <c r="C15" i="15" s="1"/>
  <c r="C60" i="15"/>
  <c r="C59" i="15" s="1"/>
  <c r="C58" i="15" s="1"/>
  <c r="C57" i="15" s="1"/>
  <c r="C56" i="15" s="1"/>
  <c r="C55" i="15" s="1"/>
  <c r="C54" i="15" s="1"/>
  <c r="C53" i="15" s="1"/>
  <c r="C52" i="15" s="1"/>
  <c r="C51" i="15" s="1"/>
  <c r="C72" i="15"/>
  <c r="C71" i="15" s="1"/>
  <c r="C70" i="15" s="1"/>
  <c r="C69" i="15" s="1"/>
  <c r="C68" i="15" s="1"/>
  <c r="C67" i="15" s="1"/>
  <c r="C66" i="15" s="1"/>
  <c r="C65" i="15" s="1"/>
  <c r="C64" i="15" s="1"/>
  <c r="C63" i="15" s="1"/>
  <c r="B96" i="16"/>
  <c r="B83" i="16" s="1"/>
  <c r="B70" i="16" s="1"/>
  <c r="B57" i="16" s="1"/>
  <c r="B44" i="16" s="1"/>
  <c r="B31" i="16" s="1"/>
  <c r="B18" i="16" s="1"/>
  <c r="W15" i="23"/>
  <c r="T15" i="23" s="1"/>
  <c r="Q15" i="23" s="1"/>
  <c r="N15" i="23" s="1"/>
  <c r="K15" i="23" s="1"/>
  <c r="H15" i="23" s="1"/>
  <c r="E15" i="23" s="1"/>
  <c r="N38" i="17"/>
  <c r="M38" i="17"/>
  <c r="L38" i="17"/>
  <c r="K38" i="17"/>
  <c r="I38" i="17"/>
  <c r="H38" i="17"/>
  <c r="G38" i="17"/>
  <c r="F38" i="17"/>
  <c r="E38" i="17"/>
  <c r="D38" i="17"/>
  <c r="J110" i="16"/>
  <c r="J109" i="16"/>
  <c r="J108" i="16"/>
  <c r="J107" i="16"/>
  <c r="J106" i="16"/>
  <c r="J105" i="16"/>
  <c r="J104" i="16"/>
  <c r="J103" i="16"/>
  <c r="J102" i="16"/>
  <c r="J101" i="16"/>
  <c r="J100" i="16"/>
  <c r="J99" i="16"/>
  <c r="J98" i="16"/>
  <c r="J97" i="16"/>
  <c r="J96" i="16"/>
  <c r="M95" i="16"/>
  <c r="J95" i="16"/>
  <c r="M94" i="16"/>
  <c r="J94" i="16"/>
  <c r="M93" i="16"/>
  <c r="J93" i="16"/>
  <c r="M92" i="16"/>
  <c r="J92" i="16"/>
  <c r="M91" i="16"/>
  <c r="J91" i="16"/>
  <c r="M90" i="16"/>
  <c r="J90" i="16"/>
  <c r="M89" i="16"/>
  <c r="J89" i="16"/>
  <c r="M88" i="16"/>
  <c r="J88" i="16"/>
  <c r="M87" i="16"/>
  <c r="J87" i="16"/>
  <c r="M86" i="16"/>
  <c r="J86" i="16"/>
  <c r="M85" i="16"/>
  <c r="J85" i="16"/>
  <c r="M84" i="16"/>
  <c r="J84" i="16"/>
  <c r="M83" i="16"/>
  <c r="J83" i="16"/>
  <c r="P82" i="16"/>
  <c r="M82" i="16"/>
  <c r="J82" i="16"/>
  <c r="P81"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S69" i="16"/>
  <c r="P69" i="16"/>
  <c r="M69" i="16"/>
  <c r="J69" i="16"/>
  <c r="S68"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V56" i="16"/>
  <c r="S56" i="16"/>
  <c r="P56" i="16"/>
  <c r="M56" i="16"/>
  <c r="J56" i="16"/>
  <c r="V55"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Y43" i="16"/>
  <c r="V43" i="16"/>
  <c r="S43" i="16"/>
  <c r="P43" i="16"/>
  <c r="M43" i="16"/>
  <c r="J43" i="16"/>
  <c r="Y42"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AB29" i="16"/>
  <c r="Y29" i="16"/>
  <c r="V29" i="16"/>
  <c r="S29" i="16"/>
  <c r="P29" i="16"/>
  <c r="M29" i="16"/>
  <c r="J29" i="16"/>
  <c r="AB28"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L34" i="13"/>
  <c r="K34" i="13"/>
  <c r="J34" i="13"/>
  <c r="G34" i="13"/>
  <c r="I34" i="13"/>
  <c r="H34" i="13"/>
  <c r="C33" i="13"/>
  <c r="C32" i="13"/>
  <c r="C31" i="13"/>
  <c r="B31" i="13"/>
  <c r="B32" i="13" s="1"/>
  <c r="B33" i="13" s="1"/>
  <c r="C30" i="13"/>
  <c r="C29" i="13"/>
  <c r="C28" i="13"/>
  <c r="C27" i="13"/>
  <c r="C26" i="13"/>
  <c r="C25" i="13"/>
  <c r="C24" i="13"/>
  <c r="C23" i="13"/>
  <c r="C22" i="13"/>
  <c r="C21" i="13"/>
  <c r="C20" i="13"/>
  <c r="B20" i="13"/>
  <c r="D14" i="12"/>
  <c r="E14" i="12" s="1"/>
  <c r="F14" i="12" s="1"/>
  <c r="G14" i="12" s="1"/>
  <c r="H14" i="12" s="1"/>
  <c r="I14" i="12" s="1"/>
  <c r="J14" i="12" s="1"/>
  <c r="K14" i="12" s="1"/>
  <c r="L14" i="12" s="1"/>
  <c r="M14" i="12" s="1"/>
  <c r="N14" i="12" s="1"/>
  <c r="L23" i="11"/>
  <c r="K23" i="11" s="1"/>
  <c r="J23" i="11" s="1"/>
  <c r="I23" i="11" s="1"/>
  <c r="H23" i="11" s="1"/>
  <c r="G23" i="11" s="1"/>
  <c r="F23" i="11" s="1"/>
  <c r="E23" i="11" s="1"/>
  <c r="D23" i="11" s="1"/>
  <c r="E21" i="11"/>
  <c r="F21" i="11" s="1"/>
  <c r="G21" i="11" s="1"/>
  <c r="H21" i="11" s="1"/>
  <c r="I21" i="11" s="1"/>
  <c r="J21" i="11" s="1"/>
  <c r="K21" i="11" s="1"/>
  <c r="L21" i="11" s="1"/>
  <c r="M21" i="11" s="1"/>
  <c r="M16" i="11"/>
  <c r="L16" i="11" s="1"/>
  <c r="K16" i="11" s="1"/>
  <c r="J16" i="11" s="1"/>
  <c r="I16" i="11" s="1"/>
  <c r="H16" i="11" s="1"/>
  <c r="G16" i="11" s="1"/>
  <c r="F16" i="11" s="1"/>
  <c r="E16" i="11" s="1"/>
  <c r="D16" i="11" s="1"/>
  <c r="C16" i="11" s="1"/>
  <c r="D14" i="11"/>
  <c r="E14" i="11" l="1"/>
  <c r="F14" i="11" s="1"/>
  <c r="G14" i="11" s="1"/>
  <c r="H14" i="11" s="1"/>
  <c r="I14" i="11" s="1"/>
  <c r="J14" i="11" s="1"/>
  <c r="K14" i="11" s="1"/>
  <c r="L14" i="11" s="1"/>
  <c r="M14" i="11" s="1"/>
  <c r="N14" i="11" s="1"/>
</calcChain>
</file>

<file path=xl/sharedStrings.xml><?xml version="1.0" encoding="utf-8"?>
<sst xmlns="http://schemas.openxmlformats.org/spreadsheetml/2006/main" count="800" uniqueCount="381">
  <si>
    <t>.</t>
  </si>
  <si>
    <t>Treaty Reinsurance Data</t>
  </si>
  <si>
    <t>SUBMIT</t>
  </si>
  <si>
    <t>Name of Company:</t>
  </si>
  <si>
    <t>Country:</t>
  </si>
  <si>
    <t>Currency (in std. units):</t>
  </si>
  <si>
    <t>Munich RE Client Manager:</t>
  </si>
  <si>
    <t>(not mandatory)</t>
  </si>
  <si>
    <t>Munich RE Underwriter</t>
  </si>
  <si>
    <t>Inception Date:</t>
  </si>
  <si>
    <t>(e.g. 01/01/2020)</t>
  </si>
  <si>
    <t>Expiry Date:</t>
  </si>
  <si>
    <t>(e.g. 31/12/2020)</t>
  </si>
  <si>
    <t>Claims Period:</t>
  </si>
  <si>
    <t>Class of Business:</t>
  </si>
  <si>
    <t>Line/s of Business:</t>
  </si>
  <si>
    <t>(e.g. motor, liability, fire, etc.)</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</si>
  <si>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</si>
  <si>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</si>
  <si>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</si>
  <si>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</si>
  <si>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</si>
  <si>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</si>
  <si>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</si>
  <si>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</si>
  <si>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</si>
  <si>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</si>
  <si>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</si>
  <si>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</si>
  <si>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</si>
  <si>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</si>
  <si>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</si>
  <si>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</si>
  <si>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</si>
  <si>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</si>
  <si>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</si>
  <si>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</si>
  <si>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</si>
  <si>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</si>
  <si>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</si>
  <si>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</si>
  <si>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</si>
  <si>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</si>
  <si>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</si>
  <si>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</si>
  <si>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</si>
  <si>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</si>
  <si>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</si>
  <si>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</si>
  <si>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</si>
  <si>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</si>
  <si>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</si>
  <si>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</si>
  <si>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</si>
  <si>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</si>
  <si>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</si>
  <si>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</si>
  <si>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</si>
  <si>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</si>
  <si>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</si>
  <si>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</si>
  <si>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</si>
  <si>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</si>
  <si>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</si>
  <si>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</si>
  <si>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</si>
  <si>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</si>
  <si>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</si>
  <si>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</si>
  <si>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</si>
  <si>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</si>
  <si>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</si>
  <si>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</si>
  <si>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</si>
  <si>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</si>
  <si>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</si>
  <si>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</si>
  <si>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</si>
  <si>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</si>
  <si>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</si>
  <si>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</si>
  <si>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</si>
  <si>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</si>
  <si>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</si>
  <si>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</si>
  <si>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</si>
  <si>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</si>
  <si>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</si>
  <si>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</si>
  <si>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</si>
  <si>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</si>
  <si>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</si>
  <si>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</si>
  <si>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</si>
  <si>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</si>
  <si>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</si>
  <si>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</si>
  <si>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</si>
  <si>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</si>
  <si>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</si>
  <si>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</si>
  <si>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</si>
  <si>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</si>
  <si>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</si>
  <si>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</si>
  <si>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</si>
  <si>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</si>
  <si>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</si>
  <si>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</si>
  <si>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</si>
  <si>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</si>
  <si>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Year</t>
  </si>
  <si>
    <t>Written Premium</t>
  </si>
  <si>
    <t>Claims Paid</t>
  </si>
  <si>
    <t>Claims Incurred</t>
  </si>
  <si>
    <t>Claims Outstanding</t>
  </si>
  <si>
    <t>Commission</t>
  </si>
  <si>
    <t>Profit Commission</t>
  </si>
  <si>
    <t>Treaty Statistics (Proportional Clean Cut)</t>
  </si>
  <si>
    <t>Premium Portfolio
IN</t>
  </si>
  <si>
    <t>Premium Portfolio
OUT</t>
  </si>
  <si>
    <t>Earned Premium</t>
  </si>
  <si>
    <t>Claims Portfolio
IN</t>
  </si>
  <si>
    <t>Claims Portfolio
OUT</t>
  </si>
  <si>
    <t>Treaty Statistics (Non-Proportional)</t>
  </si>
  <si>
    <t>Layer</t>
  </si>
  <si>
    <t>Limit</t>
  </si>
  <si>
    <t>Priority</t>
  </si>
  <si>
    <t>OGNPI</t>
  </si>
  <si>
    <t>Rate</t>
  </si>
  <si>
    <t>MDP</t>
  </si>
  <si>
    <t>Adjust. Premium</t>
  </si>
  <si>
    <t>Premium</t>
  </si>
  <si>
    <t>Reinstatement 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</si>
  <si>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</si>
  <si>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</si>
  <si>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</si>
  <si>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</si>
  <si>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</si>
  <si>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</si>
  <si>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</si>
  <si>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Rate Development (Motor Specific)</t>
  </si>
  <si>
    <t>MOTOR SPECIFIC INFORMATION</t>
  </si>
  <si>
    <t>Average Claim Cost for Motor Write-off</t>
  </si>
  <si>
    <t>Average Claim Cost for Motor Accident</t>
  </si>
  <si>
    <t>Average Premium for Motor Write-off</t>
  </si>
  <si>
    <t>Average Premium for Motor Accident</t>
  </si>
  <si>
    <t>Maximum Underwriting Limit Development</t>
  </si>
  <si>
    <t>Max UW Limit</t>
  </si>
  <si>
    <t>Number of Risks Development</t>
  </si>
  <si>
    <t>Number of Risks</t>
  </si>
  <si>
    <t>Risk Profile</t>
  </si>
  <si>
    <t>Basis:</t>
  </si>
  <si>
    <t>Profile Period:</t>
  </si>
  <si>
    <t xml:space="preserve">  (e.g. January-September 2016)</t>
  </si>
  <si>
    <t>Risk</t>
  </si>
  <si>
    <t>Risk Range</t>
  </si>
  <si>
    <t>Average</t>
  </si>
  <si>
    <t>Gross Written</t>
  </si>
  <si>
    <t>Number of</t>
  </si>
  <si>
    <t>Aggregate</t>
  </si>
  <si>
    <t>Paid</t>
  </si>
  <si>
    <t>Outstanding</t>
  </si>
  <si>
    <t>Range</t>
  </si>
  <si>
    <t>(Sum Insured)</t>
  </si>
  <si>
    <t>Sum Insured</t>
  </si>
  <si>
    <t>Risks</t>
  </si>
  <si>
    <t>Claims</t>
  </si>
  <si>
    <t>Claims Amount</t>
  </si>
  <si>
    <t>#</t>
  </si>
  <si>
    <t>From</t>
  </si>
  <si>
    <t>To</t>
  </si>
  <si>
    <t>Per Band</t>
  </si>
  <si>
    <t>-</t>
  </si>
  <si>
    <t>Total:</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</si>
  <si>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</si>
  <si>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</si>
  <si>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</si>
  <si>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</si>
  <si>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</si>
  <si>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</si>
  <si>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D.O.L.</t>
  </si>
  <si>
    <t>U/W YEAR</t>
  </si>
  <si>
    <t xml:space="preserve">Insured </t>
  </si>
  <si>
    <t>Cause of Loss</t>
  </si>
  <si>
    <t>Incurred Claims F.G.U.*</t>
  </si>
  <si>
    <t>Paid Claims Claims F.G.U.*</t>
  </si>
  <si>
    <t>O/S Claims F.G.U.*</t>
  </si>
  <si>
    <t xml:space="preserve">Fac Paid </t>
  </si>
  <si>
    <t>Fac O/S</t>
  </si>
  <si>
    <t>Surplus Paid</t>
  </si>
  <si>
    <t>Surplus O/S</t>
  </si>
  <si>
    <t xml:space="preserve">Quota Share Paid </t>
  </si>
  <si>
    <t>Quota Share O/S</t>
  </si>
  <si>
    <t>Net Paid</t>
  </si>
  <si>
    <t>Net O/S</t>
  </si>
  <si>
    <t>General Remarks:</t>
  </si>
  <si>
    <t>Please insert large losees per u/w year for the last 10 years</t>
  </si>
  <si>
    <t>* F.G.U. = From Ground Up</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</si>
  <si>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</si>
  <si>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</si>
  <si>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</si>
  <si>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</si>
  <si>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</si>
  <si>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</si>
  <si>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</si>
  <si>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</si>
  <si>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</si>
  <si>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</si>
  <si>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</si>
  <si>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</si>
  <si>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</si>
  <si>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</si>
  <si>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</si>
  <si>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</si>
  <si>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</si>
  <si>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</si>
  <si>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</si>
  <si>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</si>
  <si>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</si>
  <si>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</si>
  <si>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</si>
  <si>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</si>
  <si>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</si>
  <si>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</si>
  <si>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</si>
  <si>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</si>
  <si>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</si>
  <si>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</si>
  <si>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</si>
  <si>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</si>
  <si>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</si>
  <si>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</si>
  <si>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CAT Loss Triangulation</t>
  </si>
  <si>
    <t>Remarks</t>
  </si>
  <si>
    <t>(12 months)</t>
  </si>
  <si>
    <t>(24 months)</t>
  </si>
  <si>
    <t>U/W Year</t>
  </si>
  <si>
    <t>Peril Covered:</t>
  </si>
  <si>
    <t>Zone</t>
  </si>
  <si>
    <t>Zone Description</t>
  </si>
  <si>
    <t>Gross</t>
  </si>
  <si>
    <t>Net</t>
  </si>
  <si>
    <t>Q/S</t>
  </si>
  <si>
    <t>1st Surplus</t>
  </si>
  <si>
    <t>Fac</t>
  </si>
  <si>
    <t>Unallocated</t>
  </si>
  <si>
    <t>Total</t>
  </si>
  <si>
    <t>1. Statement applies to direct and indirect business, unless otherwise stated.</t>
  </si>
  <si>
    <t xml:space="preserve">                                </t>
  </si>
  <si>
    <t>2. Figures should represent 100% insurable value (i.e. full or total value)</t>
  </si>
  <si>
    <t>3. Figures should represent  100% of requested part (separately for each applicable underwriting year)</t>
  </si>
  <si>
    <t>Top 20 Risks</t>
  </si>
  <si>
    <t>Rank</t>
  </si>
  <si>
    <t>Class of Business</t>
  </si>
  <si>
    <t xml:space="preserve">Premium </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</si>
  <si>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</si>
  <si>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</si>
  <si>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</si>
  <si>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</si>
  <si>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</si>
  <si>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</si>
  <si>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</si>
  <si>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</si>
  <si>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</si>
  <si>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</si>
  <si>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Motor Fleet List</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</si>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</sst>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1]_-;\-* #,##0.00\ [$€-1]_-;_-* &quot;-&quot;??\ [$€-1]_-"/>
    <numFmt numFmtId="165" formatCode="#,##0\ \ \ "/>
    <numFmt numFmtId="166" formatCode="\ \ #,##0\ \ \ "/>
    <numFmt numFmtId="167" formatCode="0.0%"/>
  </numFmts>
  <fonts count="13"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s>
  <fills count="10">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rgb="FF92D050"/>
        <bgColor indexed="64"/>
      </patternFill>
    </fill>
    <fill>
      <patternFill patternType="solid">
        <fgColor theme="2" tint="-9.9978637043366805E-2"/>
        <bgColor indexed="64"/>
      </patternFill>
    </fill>
  </fills>
  <borders count="119">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dotted">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medium">
        <color indexed="64"/>
      </right>
      <top style="thin">
        <color indexed="64"/>
      </top>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dotted">
        <color indexed="64"/>
      </bottom>
      <diagonal/>
    </border>
    <border>
      <left style="thin">
        <color indexed="64"/>
      </left>
      <right style="thin">
        <color indexed="64"/>
      </right>
      <top style="dotted">
        <color indexed="64"/>
      </top>
      <bottom style="dashed">
        <color indexed="64"/>
      </bottom>
      <diagonal/>
    </border>
    <border>
      <left style="thin">
        <color indexed="64"/>
      </left>
      <right style="medium">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thin">
        <color indexed="64"/>
      </top>
      <bottom style="dotted">
        <color indexed="64"/>
      </bottom>
      <diagonal/>
    </border>
    <border>
      <left style="thin">
        <color indexed="64"/>
      </left>
      <right/>
      <top style="thin">
        <color indexed="64"/>
      </top>
      <bottom style="dotted">
        <color indexed="64"/>
      </bottom>
      <diagonal/>
    </border>
    <border>
      <left style="thin">
        <color indexed="64"/>
      </left>
      <right/>
      <top style="dotted">
        <color indexed="64"/>
      </top>
      <bottom style="dashed">
        <color indexed="64"/>
      </bottom>
      <diagonal/>
    </border>
    <border>
      <left style="thin">
        <color indexed="64"/>
      </left>
      <right/>
      <top style="dashed">
        <color indexed="64"/>
      </top>
      <bottom style="dashed">
        <color indexed="64"/>
      </bottom>
      <diagonal/>
    </border>
    <border>
      <left style="thin">
        <color indexed="64"/>
      </left>
      <right/>
      <top style="dashed">
        <color indexed="64"/>
      </top>
      <bottom style="medium">
        <color indexed="64"/>
      </bottom>
      <diagonal/>
    </border>
  </borders>
  <cellStyleXfs count="10">
    <xf numFmtId="0" fontId="0" fillId="0" borderId="0"/>
    <xf numFmtId="0" fontId="3" fillId="0" borderId="0"/>
    <xf numFmtId="164"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cellStyleXfs>
  <cellXfs count="481">
    <xf numFmtId="0" fontId="0" fillId="0" borderId="0" xfId="0"/>
    <xf numFmtId="0" fontId="0" fillId="2" borderId="0" xfId="0" applyFill="1" applyAlignment="1">
      <alignment vertical="center"/>
    </xf>
    <xf numFmtId="0" fontId="0" fillId="2" borderId="0" xfId="0" applyFill="1"/>
    <xf numFmtId="37" fontId="2" fillId="3" borderId="3" xfId="3" applyFont="1" applyFill="1" applyBorder="1" applyAlignment="1">
      <alignment horizontal="center" vertical="center"/>
    </xf>
    <xf numFmtId="37" fontId="2" fillId="3" borderId="4" xfId="0" applyNumberFormat="1" applyFont="1" applyFill="1" applyBorder="1" applyAlignment="1">
      <alignment horizontal="center" vertical="center"/>
    </xf>
    <xf numFmtId="37" fontId="2" fillId="3" borderId="24" xfId="3" applyFont="1" applyFill="1" applyBorder="1" applyAlignment="1">
      <alignment horizontal="center" vertical="center"/>
    </xf>
    <xf numFmtId="37" fontId="2" fillId="3" borderId="26" xfId="0" applyNumberFormat="1" applyFont="1" applyFill="1" applyBorder="1" applyAlignment="1">
      <alignment horizontal="center" vertical="center"/>
    </xf>
    <xf numFmtId="37" fontId="2" fillId="3" borderId="27" xfId="3" applyFont="1" applyFill="1" applyBorder="1" applyAlignment="1">
      <alignment horizontal="center" vertical="center"/>
    </xf>
    <xf numFmtId="37" fontId="2" fillId="3" borderId="28" xfId="3" applyFont="1" applyFill="1" applyBorder="1" applyAlignment="1">
      <alignment horizontal="center" vertical="center"/>
    </xf>
    <xf numFmtId="37" fontId="2" fillId="3" borderId="29" xfId="3" applyFont="1" applyFill="1" applyBorder="1" applyAlignment="1">
      <alignment horizontal="center" vertical="center"/>
    </xf>
    <xf numFmtId="37" fontId="2" fillId="3" borderId="30" xfId="3" applyFont="1" applyFill="1" applyBorder="1" applyAlignment="1">
      <alignment horizontal="center" vertical="center"/>
    </xf>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7" xfId="0" applyFont="1" applyFill="1" applyBorder="1"/>
    <xf numFmtId="0" fontId="2" fillId="3" borderId="48" xfId="0" applyFont="1" applyFill="1" applyBorder="1" applyAlignment="1">
      <alignment horizontal="left"/>
    </xf>
    <xf numFmtId="0" fontId="2" fillId="3" borderId="48" xfId="0" applyFont="1" applyFill="1" applyBorder="1"/>
    <xf numFmtId="0" fontId="2" fillId="3" borderId="49" xfId="0" applyFont="1" applyFill="1" applyBorder="1"/>
    <xf numFmtId="0" fontId="2" fillId="3" borderId="51" xfId="0" applyFont="1" applyFill="1" applyBorder="1"/>
    <xf numFmtId="0" fontId="2" fillId="3" borderId="53" xfId="0" applyFont="1" applyFill="1" applyBorder="1"/>
    <xf numFmtId="0" fontId="2" fillId="3" borderId="54" xfId="0" applyFont="1" applyFill="1" applyBorder="1"/>
    <xf numFmtId="0" fontId="2" fillId="3" borderId="41" xfId="7" applyFont="1" applyFill="1" applyBorder="1" applyAlignment="1">
      <alignment vertical="center" wrapText="1"/>
    </xf>
    <xf numFmtId="0" fontId="2" fillId="3" borderId="42" xfId="7" applyFont="1" applyFill="1" applyBorder="1" applyAlignment="1">
      <alignment horizontal="center" vertical="center" wrapText="1"/>
    </xf>
    <xf numFmtId="0" fontId="2" fillId="3" borderId="43" xfId="7" applyFont="1" applyFill="1" applyBorder="1" applyAlignment="1">
      <alignment horizontal="center" vertical="center" wrapText="1"/>
    </xf>
    <xf numFmtId="0" fontId="3" fillId="4" borderId="6" xfId="7" applyFill="1" applyBorder="1" applyAlignment="1">
      <alignment vertical="top" wrapText="1"/>
    </xf>
    <xf numFmtId="0" fontId="3" fillId="4" borderId="33" xfId="7" applyFill="1" applyBorder="1" applyAlignment="1">
      <alignment vertical="top" wrapText="1"/>
    </xf>
    <xf numFmtId="0" fontId="3" fillId="4" borderId="7" xfId="7" applyFill="1" applyBorder="1" applyAlignment="1">
      <alignment vertical="top" wrapText="1"/>
    </xf>
    <xf numFmtId="0" fontId="3" fillId="4" borderId="35" xfId="7" applyFill="1" applyBorder="1" applyAlignment="1">
      <alignment vertical="top" wrapText="1"/>
    </xf>
    <xf numFmtId="0" fontId="3" fillId="4" borderId="5" xfId="7" applyFill="1" applyBorder="1" applyAlignment="1">
      <alignment vertical="top" wrapText="1"/>
    </xf>
    <xf numFmtId="0" fontId="2" fillId="3" borderId="61" xfId="7" applyFont="1" applyFill="1" applyBorder="1" applyAlignment="1">
      <alignment horizontal="center" vertical="center" wrapText="1"/>
    </xf>
    <xf numFmtId="0" fontId="2" fillId="3" borderId="55"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2" fillId="3" borderId="52" xfId="7" applyFont="1" applyFill="1" applyBorder="1" applyAlignment="1">
      <alignment vertical="top" wrapText="1"/>
    </xf>
    <xf numFmtId="0" fontId="3" fillId="4" borderId="2" xfId="7" applyFill="1" applyBorder="1" applyAlignment="1">
      <alignment vertical="top" wrapText="1"/>
    </xf>
    <xf numFmtId="0" fontId="3" fillId="2" borderId="32" xfId="7" applyFill="1" applyBorder="1" applyAlignment="1">
      <alignment vertical="top" wrapText="1"/>
    </xf>
    <xf numFmtId="0" fontId="2" fillId="3" borderId="54" xfId="7" applyFont="1" applyFill="1" applyBorder="1" applyAlignment="1">
      <alignment vertical="top" wrapText="1"/>
    </xf>
    <xf numFmtId="2" fontId="3" fillId="2" borderId="36"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7"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60" xfId="7" applyFont="1" applyFill="1" applyBorder="1" applyAlignment="1">
      <alignment vertical="center" wrapText="1"/>
    </xf>
    <xf numFmtId="0" fontId="8" fillId="4" borderId="61"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8" fillId="4" borderId="58" xfId="7" applyFont="1" applyFill="1" applyBorder="1" applyAlignment="1">
      <alignment horizontal="center" vertical="center" wrapText="1"/>
    </xf>
    <xf numFmtId="0" fontId="3" fillId="4" borderId="20" xfId="0" applyFont="1" applyFill="1" applyBorder="1"/>
    <xf numFmtId="0" fontId="8" fillId="4" borderId="52" xfId="7" applyFont="1" applyFill="1" applyBorder="1" applyAlignment="1">
      <alignment vertical="top" wrapText="1"/>
    </xf>
    <xf numFmtId="167" fontId="3" fillId="4" borderId="2" xfId="8" applyNumberFormat="1" applyFont="1" applyFill="1" applyBorder="1" applyAlignment="1">
      <alignment vertical="top" wrapText="1"/>
    </xf>
    <xf numFmtId="167" fontId="3" fillId="4" borderId="5" xfId="8" applyNumberFormat="1" applyFont="1" applyFill="1" applyBorder="1" applyAlignment="1">
      <alignment vertical="top" wrapText="1"/>
    </xf>
    <xf numFmtId="0" fontId="3" fillId="4" borderId="32" xfId="0" applyFont="1" applyFill="1" applyBorder="1"/>
    <xf numFmtId="0" fontId="3" fillId="4" borderId="54" xfId="0" applyFont="1" applyFill="1" applyBorder="1"/>
    <xf numFmtId="2" fontId="3" fillId="4" borderId="36" xfId="0" applyNumberFormat="1" applyFont="1" applyFill="1" applyBorder="1"/>
    <xf numFmtId="2" fontId="3" fillId="4" borderId="16" xfId="0" applyNumberFormat="1" applyFont="1" applyFill="1" applyBorder="1"/>
    <xf numFmtId="2" fontId="3" fillId="4" borderId="37" xfId="0" applyNumberFormat="1" applyFont="1" applyFill="1" applyBorder="1"/>
    <xf numFmtId="0" fontId="2" fillId="3" borderId="49" xfId="7" applyFont="1" applyFill="1" applyBorder="1" applyAlignment="1">
      <alignment vertical="top" wrapText="1"/>
    </xf>
    <xf numFmtId="0" fontId="3" fillId="4" borderId="62" xfId="7" applyFill="1" applyBorder="1" applyAlignment="1">
      <alignment vertical="top" wrapText="1"/>
    </xf>
    <xf numFmtId="0" fontId="3" fillId="4" borderId="63" xfId="7" applyFill="1" applyBorder="1" applyAlignment="1">
      <alignment vertical="top" wrapText="1"/>
    </xf>
    <xf numFmtId="37" fontId="2" fillId="3" borderId="22" xfId="3" applyFont="1" applyFill="1" applyBorder="1" applyAlignment="1">
      <alignment horizontal="center" vertical="center"/>
    </xf>
    <xf numFmtId="37" fontId="2" fillId="3" borderId="62" xfId="3" applyFont="1" applyFill="1" applyBorder="1" applyAlignment="1">
      <alignment horizontal="center" vertical="center"/>
    </xf>
    <xf numFmtId="37" fontId="2" fillId="3" borderId="62" xfId="0" applyNumberFormat="1" applyFont="1" applyFill="1" applyBorder="1" applyAlignment="1">
      <alignment horizontal="center" vertical="center"/>
    </xf>
    <xf numFmtId="37" fontId="2" fillId="3" borderId="63" xfId="3" applyFont="1" applyFill="1" applyBorder="1" applyAlignment="1">
      <alignment horizontal="center" vertical="center"/>
    </xf>
    <xf numFmtId="37" fontId="2" fillId="3" borderId="64" xfId="3" applyFont="1" applyFill="1" applyBorder="1" applyAlignment="1">
      <alignment horizontal="center" vertical="center"/>
    </xf>
    <xf numFmtId="0" fontId="2" fillId="3" borderId="52" xfId="3" applyNumberFormat="1" applyFont="1" applyFill="1" applyBorder="1" applyAlignment="1">
      <alignment horizontal="center" vertical="center"/>
    </xf>
    <xf numFmtId="165" fontId="3" fillId="4" borderId="65" xfId="3" applyNumberFormat="1" applyFont="1" applyFill="1" applyBorder="1" applyAlignment="1">
      <alignment vertical="center"/>
    </xf>
    <xf numFmtId="0" fontId="2" fillId="3" borderId="53" xfId="3" applyNumberFormat="1" applyFont="1" applyFill="1" applyBorder="1" applyAlignment="1">
      <alignment horizontal="center" vertical="center"/>
    </xf>
    <xf numFmtId="165" fontId="3" fillId="4" borderId="8" xfId="3" applyNumberFormat="1" applyFont="1" applyFill="1" applyBorder="1" applyAlignment="1">
      <alignment vertical="center"/>
    </xf>
    <xf numFmtId="0" fontId="2" fillId="3" borderId="69" xfId="3" applyNumberFormat="1" applyFont="1" applyFill="1" applyBorder="1" applyAlignment="1">
      <alignment horizontal="center" vertical="center"/>
    </xf>
    <xf numFmtId="165" fontId="3" fillId="4" borderId="0" xfId="3" applyNumberFormat="1" applyFont="1" applyFill="1" applyAlignment="1">
      <alignment vertical="center"/>
    </xf>
    <xf numFmtId="37" fontId="2" fillId="3" borderId="38" xfId="3" applyFont="1" applyFill="1" applyBorder="1" applyAlignment="1">
      <alignment horizontal="center" vertical="center"/>
    </xf>
    <xf numFmtId="0" fontId="2" fillId="3" borderId="39" xfId="0" applyFont="1" applyFill="1" applyBorder="1" applyAlignment="1">
      <alignment horizontal="left" vertical="center"/>
    </xf>
    <xf numFmtId="37" fontId="3" fillId="2" borderId="36" xfId="3" applyFont="1" applyFill="1" applyBorder="1" applyAlignment="1">
      <alignment vertical="center"/>
    </xf>
    <xf numFmtId="37" fontId="3" fillId="2" borderId="16" xfId="3" applyFont="1" applyFill="1" applyBorder="1" applyAlignment="1">
      <alignment vertical="center"/>
    </xf>
    <xf numFmtId="37" fontId="3" fillId="2" borderId="37" xfId="3" applyFont="1" applyFill="1" applyBorder="1" applyAlignment="1">
      <alignment vertical="center"/>
    </xf>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9" xfId="0" applyFont="1" applyFill="1" applyBorder="1" applyAlignment="1">
      <alignment horizontal="center" vertical="center"/>
    </xf>
    <xf numFmtId="0" fontId="2" fillId="3" borderId="55" xfId="0" applyFont="1" applyFill="1" applyBorder="1" applyAlignment="1">
      <alignment horizontal="center" vertical="center"/>
    </xf>
    <xf numFmtId="0" fontId="2" fillId="3" borderId="55" xfId="0" applyFont="1" applyFill="1" applyBorder="1" applyAlignment="1">
      <alignment horizontal="center" vertical="center" wrapText="1"/>
    </xf>
    <xf numFmtId="0" fontId="2" fillId="3" borderId="58" xfId="0" applyFont="1" applyFill="1" applyBorder="1" applyAlignment="1">
      <alignment horizontal="center" vertical="center" wrapText="1"/>
    </xf>
    <xf numFmtId="0" fontId="8" fillId="4" borderId="17" xfId="0" applyFont="1" applyFill="1" applyBorder="1"/>
    <xf numFmtId="0" fontId="3" fillId="4" borderId="18" xfId="0" applyFont="1" applyFill="1" applyBorder="1"/>
    <xf numFmtId="0" fontId="3" fillId="4" borderId="21" xfId="0" applyFont="1" applyFill="1" applyBorder="1"/>
    <xf numFmtId="0" fontId="3" fillId="4" borderId="22" xfId="0" applyFont="1" applyFill="1" applyBorder="1"/>
    <xf numFmtId="0" fontId="2" fillId="3" borderId="59" xfId="0" applyFont="1" applyFill="1" applyBorder="1" applyAlignment="1">
      <alignment horizontal="center"/>
    </xf>
    <xf numFmtId="0" fontId="2" fillId="3" borderId="55" xfId="0" applyFont="1" applyFill="1" applyBorder="1" applyAlignment="1">
      <alignment horizontal="center"/>
    </xf>
    <xf numFmtId="0" fontId="2" fillId="3" borderId="58" xfId="0" applyFont="1" applyFill="1" applyBorder="1" applyAlignment="1">
      <alignment horizontal="center"/>
    </xf>
    <xf numFmtId="10" fontId="3" fillId="2" borderId="37" xfId="0" applyNumberFormat="1" applyFont="1" applyFill="1" applyBorder="1"/>
    <xf numFmtId="4" fontId="3" fillId="4" borderId="74" xfId="0" applyNumberFormat="1" applyFont="1" applyFill="1" applyBorder="1" applyProtection="1">
      <protection locked="0"/>
    </xf>
    <xf numFmtId="4" fontId="3" fillId="4" borderId="45" xfId="0" applyNumberFormat="1" applyFont="1" applyFill="1" applyBorder="1" applyProtection="1">
      <protection locked="0"/>
    </xf>
    <xf numFmtId="4" fontId="3" fillId="4" borderId="52" xfId="0" applyNumberFormat="1" applyFont="1" applyFill="1" applyBorder="1" applyProtection="1">
      <protection locked="0"/>
    </xf>
    <xf numFmtId="4" fontId="3" fillId="2" borderId="53" xfId="0" applyNumberFormat="1" applyFont="1" applyFill="1" applyBorder="1"/>
    <xf numFmtId="10" fontId="3" fillId="2" borderId="53" xfId="0" applyNumberFormat="1" applyFont="1" applyFill="1" applyBorder="1"/>
    <xf numFmtId="10" fontId="3" fillId="2" borderId="54"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6" xfId="0" applyNumberFormat="1" applyFont="1" applyFill="1" applyBorder="1" applyProtection="1">
      <protection locked="0"/>
    </xf>
    <xf numFmtId="49" fontId="3" fillId="4" borderId="77" xfId="0" applyNumberFormat="1" applyFont="1" applyFill="1" applyBorder="1" applyAlignment="1" applyProtection="1">
      <alignment wrapText="1"/>
      <protection locked="0"/>
    </xf>
    <xf numFmtId="0" fontId="3" fillId="4" borderId="70" xfId="0" applyFont="1" applyFill="1" applyBorder="1" applyAlignment="1">
      <alignment horizontal="center" vertical="center"/>
    </xf>
    <xf numFmtId="14" fontId="3" fillId="4" borderId="67" xfId="0" applyNumberFormat="1" applyFont="1" applyFill="1" applyBorder="1" applyProtection="1">
      <protection locked="0"/>
    </xf>
    <xf numFmtId="49" fontId="3" fillId="4" borderId="68" xfId="0" applyNumberFormat="1" applyFont="1" applyFill="1" applyBorder="1" applyAlignment="1" applyProtection="1">
      <alignment wrapText="1"/>
      <protection locked="0"/>
    </xf>
    <xf numFmtId="0" fontId="3" fillId="4" borderId="34"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5" xfId="0" applyNumberFormat="1" applyFont="1" applyFill="1" applyBorder="1" applyAlignment="1" applyProtection="1">
      <alignment wrapText="1"/>
      <protection locked="0"/>
    </xf>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85" xfId="0" applyFont="1" applyFill="1" applyBorder="1" applyAlignment="1">
      <alignment horizontal="center" vertical="center"/>
    </xf>
    <xf numFmtId="0" fontId="3" fillId="4" borderId="87"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3" xfId="0" applyNumberFormat="1" applyFont="1" applyFill="1" applyBorder="1" applyProtection="1">
      <protection locked="0"/>
    </xf>
    <xf numFmtId="49" fontId="3" fillId="4" borderId="64" xfId="0" applyNumberFormat="1" applyFont="1" applyFill="1" applyBorder="1" applyAlignment="1" applyProtection="1">
      <alignment wrapText="1"/>
      <protection locked="0"/>
    </xf>
    <xf numFmtId="0" fontId="3" fillId="4" borderId="19" xfId="0" applyFont="1" applyFill="1" applyBorder="1"/>
    <xf numFmtId="0" fontId="3" fillId="4" borderId="23" xfId="0" applyFont="1" applyFill="1" applyBorder="1"/>
    <xf numFmtId="0" fontId="2" fillId="3" borderId="39" xfId="0" applyFont="1" applyFill="1" applyBorder="1" applyAlignment="1">
      <alignment horizontal="center" vertical="center" wrapText="1"/>
    </xf>
    <xf numFmtId="0" fontId="2" fillId="3" borderId="90" xfId="0" applyFont="1" applyFill="1" applyBorder="1" applyAlignment="1">
      <alignment vertical="top" wrapText="1"/>
    </xf>
    <xf numFmtId="0" fontId="2" fillId="3" borderId="92" xfId="0" applyFont="1" applyFill="1" applyBorder="1" applyAlignment="1">
      <alignment vertical="top" wrapText="1"/>
    </xf>
    <xf numFmtId="0" fontId="3" fillId="4" borderId="83" xfId="0" applyFont="1" applyFill="1" applyBorder="1" applyAlignment="1">
      <alignment horizontal="left" vertical="top" wrapText="1"/>
    </xf>
    <xf numFmtId="0" fontId="3" fillId="4" borderId="93" xfId="0" applyFont="1" applyFill="1" applyBorder="1" applyAlignment="1">
      <alignment vertical="top" wrapText="1"/>
    </xf>
    <xf numFmtId="0" fontId="3" fillId="4" borderId="8" xfId="0" applyFont="1" applyFill="1" applyBorder="1" applyAlignment="1">
      <alignment vertical="top" wrapText="1"/>
    </xf>
    <xf numFmtId="0" fontId="3" fillId="4" borderId="7" xfId="0" applyFont="1" applyFill="1" applyBorder="1" applyAlignment="1">
      <alignment vertical="top" wrapText="1"/>
    </xf>
    <xf numFmtId="0" fontId="3" fillId="4" borderId="93" xfId="0" applyFont="1" applyFill="1" applyBorder="1" applyAlignment="1">
      <alignment horizontal="left" vertical="top" wrapText="1"/>
    </xf>
    <xf numFmtId="0" fontId="2" fillId="3" borderId="94" xfId="0" applyFont="1" applyFill="1" applyBorder="1" applyAlignment="1">
      <alignment vertical="top" wrapText="1"/>
    </xf>
    <xf numFmtId="0" fontId="3" fillId="4" borderId="95" xfId="0" applyFont="1" applyFill="1" applyBorder="1" applyAlignment="1">
      <alignment horizontal="left" vertical="top" wrapText="1"/>
    </xf>
    <xf numFmtId="0" fontId="3" fillId="4" borderId="96" xfId="0" applyFont="1" applyFill="1" applyBorder="1" applyAlignment="1">
      <alignment horizontal="left" vertical="top" wrapText="1"/>
    </xf>
    <xf numFmtId="0" fontId="2" fillId="3" borderId="60" xfId="0" applyFont="1" applyFill="1" applyBorder="1" applyAlignment="1">
      <alignment horizontal="left" vertical="top" wrapText="1"/>
    </xf>
    <xf numFmtId="0" fontId="3" fillId="2" borderId="36" xfId="0" applyFont="1" applyFill="1" applyBorder="1" applyAlignment="1">
      <alignment vertical="top" wrapText="1"/>
    </xf>
    <xf numFmtId="0" fontId="3" fillId="2" borderId="16" xfId="0" applyFont="1" applyFill="1" applyBorder="1" applyAlignment="1">
      <alignment vertical="top" wrapText="1"/>
    </xf>
    <xf numFmtId="0" fontId="0" fillId="2" borderId="16" xfId="0" applyFill="1" applyBorder="1"/>
    <xf numFmtId="0" fontId="3" fillId="2" borderId="37" xfId="0" applyFont="1" applyFill="1" applyBorder="1" applyAlignment="1">
      <alignment vertical="top" wrapText="1"/>
    </xf>
    <xf numFmtId="0" fontId="1" fillId="4" borderId="17" xfId="0" applyFont="1" applyFill="1" applyBorder="1"/>
    <xf numFmtId="0" fontId="0" fillId="4" borderId="18" xfId="0" applyFill="1" applyBorder="1"/>
    <xf numFmtId="0" fontId="0" fillId="4" borderId="19" xfId="0" applyFill="1" applyBorder="1"/>
    <xf numFmtId="0" fontId="0" fillId="4" borderId="0" xfId="0" applyFill="1"/>
    <xf numFmtId="0" fontId="0" fillId="4" borderId="20" xfId="0" applyFill="1" applyBorder="1"/>
    <xf numFmtId="0" fontId="3" fillId="0" borderId="76" xfId="7" applyBorder="1" applyAlignment="1">
      <alignment vertical="top"/>
    </xf>
    <xf numFmtId="0" fontId="3" fillId="0" borderId="7" xfId="7" applyBorder="1" applyAlignment="1">
      <alignment vertical="top"/>
    </xf>
    <xf numFmtId="0" fontId="3" fillId="0" borderId="72" xfId="7" applyBorder="1" applyAlignment="1">
      <alignment vertical="top"/>
    </xf>
    <xf numFmtId="0" fontId="0" fillId="0" borderId="42"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4"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7" xfId="0" applyBorder="1" applyAlignment="1">
      <alignment vertical="center"/>
    </xf>
    <xf numFmtId="14" fontId="3" fillId="4" borderId="99" xfId="0" applyNumberFormat="1" applyFont="1" applyFill="1" applyBorder="1" applyProtection="1">
      <protection locked="0"/>
    </xf>
    <xf numFmtId="14" fontId="3" fillId="4" borderId="91" xfId="0" applyNumberFormat="1" applyFont="1" applyFill="1" applyBorder="1" applyProtection="1">
      <protection locked="0"/>
    </xf>
    <xf numFmtId="14" fontId="3" fillId="4" borderId="93" xfId="0" applyNumberFormat="1" applyFont="1" applyFill="1" applyBorder="1" applyProtection="1">
      <protection locked="0"/>
    </xf>
    <xf numFmtId="14" fontId="3" fillId="4" borderId="100" xfId="0" applyNumberFormat="1" applyFont="1" applyFill="1" applyBorder="1" applyProtection="1">
      <protection locked="0"/>
    </xf>
    <xf numFmtId="14" fontId="3" fillId="4" borderId="75" xfId="0" applyNumberFormat="1" applyFont="1" applyFill="1" applyBorder="1" applyProtection="1">
      <protection locked="0"/>
    </xf>
    <xf numFmtId="0" fontId="2" fillId="3" borderId="59" xfId="0" applyFont="1" applyFill="1" applyBorder="1" applyAlignment="1">
      <alignment horizontal="center" vertical="center" wrapText="1"/>
    </xf>
    <xf numFmtId="0" fontId="2" fillId="3" borderId="58" xfId="0" applyFont="1" applyFill="1" applyBorder="1" applyAlignment="1">
      <alignment horizontal="center" vertical="center"/>
    </xf>
    <xf numFmtId="0" fontId="2" fillId="3" borderId="61" xfId="0" applyFont="1" applyFill="1" applyBorder="1" applyAlignment="1">
      <alignment horizontal="center"/>
    </xf>
    <xf numFmtId="0" fontId="3" fillId="4" borderId="81" xfId="0" applyFont="1" applyFill="1" applyBorder="1" applyAlignment="1">
      <alignment horizontal="center" vertical="top" wrapText="1"/>
    </xf>
    <xf numFmtId="0" fontId="3" fillId="4" borderId="91" xfId="0" applyFont="1" applyFill="1" applyBorder="1" applyAlignment="1">
      <alignment horizontal="center" vertical="top" wrapText="1"/>
    </xf>
    <xf numFmtId="0" fontId="3" fillId="4" borderId="65" xfId="0" applyFont="1" applyFill="1" applyBorder="1" applyAlignment="1">
      <alignment horizontal="center" vertical="top" wrapText="1"/>
    </xf>
    <xf numFmtId="0" fontId="3" fillId="4" borderId="67" xfId="0" applyFont="1" applyFill="1" applyBorder="1" applyAlignment="1">
      <alignment horizontal="center" vertical="top" wrapText="1"/>
    </xf>
    <xf numFmtId="37" fontId="2" fillId="3" borderId="31" xfId="3" applyFont="1" applyFill="1" applyBorder="1" applyAlignment="1">
      <alignment horizontal="center" vertical="center"/>
    </xf>
    <xf numFmtId="0" fontId="2" fillId="3" borderId="41" xfId="0" applyFont="1" applyFill="1" applyBorder="1" applyAlignment="1">
      <alignment horizontal="center" vertical="center" wrapText="1"/>
    </xf>
    <xf numFmtId="0" fontId="3" fillId="4" borderId="64" xfId="7" applyFill="1" applyBorder="1" applyAlignment="1">
      <alignment vertical="top"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3" fillId="6" borderId="0" xfId="0" applyFont="1" applyFill="1" applyAlignment="1">
      <alignment vertical="center" wrapText="1"/>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2" fillId="6" borderId="0" xfId="0" applyFont="1" applyFill="1" applyAlignment="1">
      <alignment vertical="center" wrapText="1"/>
    </xf>
    <xf numFmtId="0" fontId="0" fillId="0" borderId="41" xfId="0" applyBorder="1" applyAlignment="1">
      <alignment horizontal="center" vertical="center"/>
    </xf>
    <xf numFmtId="0" fontId="0" fillId="0" borderId="43"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9"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41" xfId="0" applyFont="1" applyFill="1" applyBorder="1"/>
    <xf numFmtId="0" fontId="2" fillId="3" borderId="14" xfId="0" applyFont="1" applyFill="1" applyBorder="1"/>
    <xf numFmtId="0" fontId="2" fillId="3" borderId="15" xfId="0" applyFont="1" applyFill="1" applyBorder="1"/>
    <xf numFmtId="10" fontId="3" fillId="2" borderId="73" xfId="0" applyNumberFormat="1" applyFont="1" applyFill="1" applyBorder="1"/>
    <xf numFmtId="10" fontId="3" fillId="2" borderId="9" xfId="0" applyNumberFormat="1" applyFont="1" applyFill="1" applyBorder="1"/>
    <xf numFmtId="2" fontId="3" fillId="2" borderId="78" xfId="0" applyNumberFormat="1" applyFont="1" applyFill="1" applyBorder="1" applyProtection="1">
      <protection locked="0"/>
    </xf>
    <xf numFmtId="2" fontId="3" fillId="2" borderId="76" xfId="0" applyNumberFormat="1" applyFont="1" applyFill="1" applyBorder="1" applyProtection="1">
      <protection locked="0"/>
    </xf>
    <xf numFmtId="2" fontId="3" fillId="2" borderId="37"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73"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8" xfId="0" applyNumberFormat="1" applyFont="1" applyFill="1" applyBorder="1" applyProtection="1">
      <protection locked="0"/>
    </xf>
    <xf numFmtId="10" fontId="3" fillId="2" borderId="76"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8" xfId="0" applyNumberFormat="1" applyFont="1" applyFill="1" applyBorder="1" applyProtection="1">
      <protection locked="0"/>
    </xf>
    <xf numFmtId="2" fontId="3" fillId="4" borderId="76"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73"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3" fillId="4" borderId="50" xfId="0" applyFont="1" applyFill="1" applyBorder="1" applyAlignment="1">
      <alignment horizontal="left" vertical="top" wrapText="1"/>
    </xf>
    <xf numFmtId="0" fontId="2" fillId="3" borderId="15" xfId="0" applyFont="1" applyFill="1" applyBorder="1" applyAlignment="1">
      <alignment horizontal="left" vertical="top" wrapText="1"/>
    </xf>
    <xf numFmtId="0" fontId="2" fillId="3" borderId="63" xfId="0" applyFont="1" applyFill="1" applyBorder="1" applyAlignment="1">
      <alignment horizontal="center" vertical="center" wrapText="1"/>
    </xf>
    <xf numFmtId="0" fontId="2" fillId="3" borderId="22" xfId="0" applyFont="1" applyFill="1" applyBorder="1" applyAlignment="1">
      <alignment horizontal="center" vertical="center" wrapText="1"/>
    </xf>
    <xf numFmtId="0" fontId="2" fillId="3" borderId="64" xfId="0" applyFont="1" applyFill="1" applyBorder="1" applyAlignment="1">
      <alignment horizontal="center" vertical="center" wrapText="1"/>
    </xf>
    <xf numFmtId="0" fontId="2" fillId="3" borderId="16" xfId="0" applyFont="1" applyFill="1" applyBorder="1" applyAlignment="1">
      <alignment horizontal="center"/>
    </xf>
    <xf numFmtId="0" fontId="2" fillId="3" borderId="75" xfId="0" applyFont="1" applyFill="1" applyBorder="1" applyAlignment="1">
      <alignment horizontal="center" vertical="center" wrapText="1"/>
    </xf>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60" xfId="9" applyFont="1" applyFill="1" applyBorder="1" applyAlignment="1" applyProtection="1">
      <alignment horizontal="center" vertical="center"/>
    </xf>
    <xf numFmtId="0" fontId="3" fillId="4" borderId="97"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12" fillId="7" borderId="60" xfId="9" applyFont="1" applyFill="1" applyBorder="1" applyAlignment="1">
      <alignment horizontal="center" vertical="center"/>
    </xf>
    <xf numFmtId="0" fontId="12" fillId="8" borderId="60" xfId="9" quotePrefix="1" applyFont="1" applyFill="1" applyBorder="1" applyAlignment="1">
      <alignment horizontal="center" vertical="center"/>
    </xf>
    <xf numFmtId="0" fontId="0" fillId="0" borderId="16" xfId="0" applyBorder="1" applyAlignment="1">
      <alignment horizontal="center" vertical="center"/>
    </xf>
    <xf numFmtId="0" fontId="1" fillId="0" borderId="44" xfId="0" applyFont="1" applyBorder="1" applyAlignment="1">
      <alignment vertical="center"/>
    </xf>
    <xf numFmtId="0" fontId="0" fillId="0" borderId="42" xfId="0" applyBorder="1" applyAlignment="1">
      <alignment horizontal="center" vertical="center"/>
    </xf>
    <xf numFmtId="166" fontId="3" fillId="4" borderId="66" xfId="3" applyNumberFormat="1" applyFont="1" applyFill="1" applyBorder="1" applyAlignment="1" applyProtection="1">
      <alignment horizontal="left" vertical="center"/>
      <protection locked="0"/>
    </xf>
    <xf numFmtId="165" fontId="3" fillId="4" borderId="67" xfId="3" applyNumberFormat="1" applyFont="1" applyFill="1" applyBorder="1" applyAlignment="1" applyProtection="1">
      <alignment vertical="center"/>
      <protection locked="0"/>
    </xf>
    <xf numFmtId="165" fontId="3" fillId="4" borderId="68" xfId="3" applyNumberFormat="1" applyFont="1" applyFill="1" applyBorder="1" applyAlignment="1" applyProtection="1">
      <alignment vertical="center"/>
      <protection locked="0"/>
    </xf>
    <xf numFmtId="166" fontId="3" fillId="4" borderId="9" xfId="3" applyNumberFormat="1" applyFont="1" applyFill="1" applyBorder="1" applyAlignment="1" applyProtection="1">
      <alignment horizontal="left" vertical="center"/>
      <protection locked="0"/>
    </xf>
    <xf numFmtId="165" fontId="3" fillId="4" borderId="7" xfId="3" applyNumberFormat="1" applyFont="1" applyFill="1" applyBorder="1" applyAlignment="1" applyProtection="1">
      <alignment vertical="center"/>
      <protection locked="0"/>
    </xf>
    <xf numFmtId="165" fontId="3" fillId="4" borderId="35" xfId="3" applyNumberFormat="1" applyFont="1" applyFill="1" applyBorder="1" applyAlignment="1" applyProtection="1">
      <alignment vertical="center"/>
      <protection locked="0"/>
    </xf>
    <xf numFmtId="166" fontId="3" fillId="4" borderId="4" xfId="3" applyNumberFormat="1" applyFont="1" applyFill="1" applyBorder="1" applyAlignment="1" applyProtection="1">
      <alignment horizontal="left" vertical="center"/>
      <protection locked="0"/>
    </xf>
    <xf numFmtId="165" fontId="3" fillId="4" borderId="3" xfId="3" applyNumberFormat="1" applyFont="1" applyFill="1" applyBorder="1" applyAlignment="1" applyProtection="1">
      <alignment vertical="center"/>
      <protection locked="0"/>
    </xf>
    <xf numFmtId="165" fontId="3" fillId="4" borderId="30" xfId="3" applyNumberFormat="1" applyFont="1" applyFill="1" applyBorder="1" applyAlignment="1" applyProtection="1">
      <alignment vertical="center"/>
      <protection locked="0"/>
    </xf>
    <xf numFmtId="165" fontId="3" fillId="2" borderId="66" xfId="3" applyNumberFormat="1" applyFont="1" applyFill="1" applyBorder="1" applyAlignment="1" applyProtection="1">
      <alignment vertical="center"/>
      <protection locked="0"/>
    </xf>
    <xf numFmtId="165" fontId="3" fillId="2" borderId="9" xfId="3" applyNumberFormat="1" applyFont="1" applyFill="1" applyBorder="1" applyAlignment="1" applyProtection="1">
      <alignment vertical="center"/>
      <protection locked="0"/>
    </xf>
    <xf numFmtId="165" fontId="3" fillId="2" borderId="3" xfId="3" applyNumberFormat="1" applyFont="1" applyFill="1" applyBorder="1" applyAlignment="1" applyProtection="1">
      <alignment vertical="center"/>
      <protection locked="0"/>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3" fillId="9" borderId="65" xfId="3" applyNumberFormat="1" applyFont="1" applyFill="1" applyBorder="1" applyAlignment="1">
      <alignment vertical="center"/>
    </xf>
    <xf numFmtId="0" fontId="3" fillId="9" borderId="8" xfId="3" applyNumberFormat="1" applyFont="1" applyFill="1" applyBorder="1" applyAlignment="1">
      <alignment vertical="center"/>
    </xf>
    <xf numFmtId="0" fontId="3" fillId="9" borderId="0" xfId="3" applyNumberFormat="1" applyFont="1" applyFill="1" applyAlignment="1">
      <alignment vertical="center"/>
    </xf>
    <xf numFmtId="0" fontId="2" fillId="3" borderId="27" xfId="7" applyFont="1" applyFill="1" applyBorder="1" applyAlignment="1">
      <alignment horizontal="center" vertical="center" wrapText="1"/>
    </xf>
    <xf numFmtId="0" fontId="2" fillId="3" borderId="28" xfId="7" applyFont="1" applyFill="1" applyBorder="1" applyAlignment="1">
      <alignment horizontal="center" vertical="center" wrapText="1"/>
    </xf>
    <xf numFmtId="0" fontId="2" fillId="3" borderId="92" xfId="7" applyFont="1" applyFill="1" applyBorder="1" applyAlignment="1">
      <alignment vertical="top" wrapText="1"/>
    </xf>
    <xf numFmtId="0" fontId="2" fillId="3" borderId="94" xfId="7" applyFont="1" applyFill="1" applyBorder="1" applyAlignment="1">
      <alignment vertical="top" wrapText="1"/>
    </xf>
    <xf numFmtId="0" fontId="10" fillId="6" borderId="0" xfId="0" applyFont="1" applyFill="1"/>
    <xf numFmtId="0" fontId="0" fillId="0" borderId="10" xfId="0" applyBorder="1" applyAlignment="1">
      <alignment vertical="center"/>
    </xf>
    <xf numFmtId="0" fontId="0" fillId="0" borderId="10" xfId="0" applyBorder="1" applyAlignment="1">
      <alignment vertical="center" wrapText="1"/>
    </xf>
    <xf numFmtId="0" fontId="3" fillId="4" borderId="67" xfId="7" applyFill="1" applyBorder="1" applyAlignment="1">
      <alignment vertical="top" wrapText="1"/>
    </xf>
    <xf numFmtId="0" fontId="3" fillId="4" borderId="76" xfId="7" applyFill="1" applyBorder="1" applyAlignment="1">
      <alignment vertical="top" wrapText="1"/>
    </xf>
    <xf numFmtId="0" fontId="3" fillId="4" borderId="77" xfId="7" applyFill="1" applyBorder="1" applyAlignment="1">
      <alignment vertical="top" wrapText="1"/>
    </xf>
    <xf numFmtId="0" fontId="3" fillId="4" borderId="72" xfId="7" applyFill="1" applyBorder="1" applyAlignment="1">
      <alignment vertical="top" wrapText="1"/>
    </xf>
    <xf numFmtId="9" fontId="3" fillId="4" borderId="72" xfId="8" applyFont="1" applyFill="1" applyBorder="1" applyAlignment="1">
      <alignment vertical="top" wrapText="1"/>
    </xf>
    <xf numFmtId="9" fontId="3" fillId="4" borderId="73" xfId="8" applyFont="1" applyFill="1" applyBorder="1" applyAlignment="1">
      <alignment vertical="top" wrapText="1"/>
    </xf>
    <xf numFmtId="0" fontId="3" fillId="4" borderId="68" xfId="7" applyFill="1" applyBorder="1" applyAlignment="1">
      <alignment vertical="top" wrapText="1"/>
    </xf>
    <xf numFmtId="0" fontId="2" fillId="3" borderId="24" xfId="7" applyFont="1" applyFill="1" applyBorder="1" applyAlignment="1">
      <alignment horizontal="center"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101" xfId="0" applyFill="1" applyBorder="1" applyAlignment="1">
      <alignment horizontal="left" vertical="center"/>
    </xf>
    <xf numFmtId="0" fontId="0" fillId="5" borderId="97" xfId="0" applyFill="1" applyBorder="1" applyAlignment="1">
      <alignment horizontal="left" vertical="center"/>
    </xf>
    <xf numFmtId="0" fontId="0" fillId="5" borderId="97" xfId="0" applyFill="1" applyBorder="1" applyAlignment="1">
      <alignment horizontal="left" vertical="center" wrapText="1"/>
    </xf>
    <xf numFmtId="0" fontId="0" fillId="5" borderId="102" xfId="0" applyFill="1" applyBorder="1" applyAlignment="1">
      <alignment horizontal="left" vertical="center"/>
    </xf>
    <xf numFmtId="0" fontId="11" fillId="0" borderId="42" xfId="9" quotePrefix="1" applyFill="1" applyBorder="1" applyAlignment="1">
      <alignment horizontal="center" vertical="center" wrapText="1"/>
    </xf>
    <xf numFmtId="0" fontId="3" fillId="4" borderId="108" xfId="7" applyFill="1" applyBorder="1" applyAlignment="1">
      <alignment vertical="top" wrapText="1"/>
    </xf>
    <xf numFmtId="0" fontId="3" fillId="4" borderId="109" xfId="7" applyFill="1" applyBorder="1" applyAlignment="1">
      <alignment vertical="top" wrapText="1"/>
    </xf>
    <xf numFmtId="0" fontId="3" fillId="4" borderId="110" xfId="7" applyFill="1" applyBorder="1" applyAlignment="1">
      <alignment vertical="top" wrapText="1"/>
    </xf>
    <xf numFmtId="0" fontId="3" fillId="4" borderId="111" xfId="7" applyFill="1" applyBorder="1" applyAlignment="1">
      <alignment vertical="top" wrapText="1"/>
    </xf>
    <xf numFmtId="0" fontId="3" fillId="4" borderId="112" xfId="7" applyFill="1" applyBorder="1" applyAlignment="1">
      <alignment vertical="top" wrapText="1"/>
    </xf>
    <xf numFmtId="9" fontId="3" fillId="4" borderId="112" xfId="8" applyFont="1" applyFill="1" applyBorder="1" applyAlignment="1">
      <alignment vertical="top" wrapText="1"/>
    </xf>
    <xf numFmtId="9" fontId="3" fillId="4" borderId="113" xfId="8" applyFont="1" applyFill="1" applyBorder="1" applyAlignment="1">
      <alignment vertical="top" wrapText="1"/>
    </xf>
    <xf numFmtId="0" fontId="3" fillId="4" borderId="114" xfId="7" applyFill="1" applyBorder="1" applyAlignment="1">
      <alignment vertical="top" wrapText="1"/>
    </xf>
    <xf numFmtId="0" fontId="3" fillId="4" borderId="34" xfId="7" applyFill="1" applyBorder="1" applyAlignment="1">
      <alignment vertical="top" wrapText="1"/>
    </xf>
    <xf numFmtId="0" fontId="3" fillId="4" borderId="71" xfId="7" applyFill="1" applyBorder="1" applyAlignment="1">
      <alignment vertical="top" wrapText="1"/>
    </xf>
    <xf numFmtId="0" fontId="2" fillId="3" borderId="41" xfId="7" applyFont="1" applyFill="1" applyBorder="1" applyAlignment="1">
      <alignment horizontal="center" vertical="center" wrapText="1"/>
    </xf>
    <xf numFmtId="0" fontId="3" fillId="4" borderId="107" xfId="7" applyFill="1" applyBorder="1" applyAlignment="1">
      <alignment vertical="top" wrapText="1"/>
    </xf>
    <xf numFmtId="2" fontId="3" fillId="4" borderId="71" xfId="8" applyNumberFormat="1" applyFont="1" applyFill="1" applyBorder="1" applyAlignment="1">
      <alignment vertical="top" wrapText="1"/>
    </xf>
    <xf numFmtId="2" fontId="3" fillId="4" borderId="72" xfId="8" applyNumberFormat="1" applyFont="1" applyFill="1" applyBorder="1" applyAlignment="1">
      <alignment vertical="top" wrapText="1"/>
    </xf>
    <xf numFmtId="2" fontId="3" fillId="4" borderId="73" xfId="8" applyNumberFormat="1" applyFont="1" applyFill="1" applyBorder="1" applyAlignment="1">
      <alignment vertical="top" wrapText="1"/>
    </xf>
    <xf numFmtId="0" fontId="3" fillId="4" borderId="70" xfId="7" applyFill="1" applyBorder="1" applyAlignment="1">
      <alignment vertical="top" wrapText="1"/>
    </xf>
    <xf numFmtId="0" fontId="3" fillId="0" borderId="70" xfId="0" applyFont="1" applyBorder="1"/>
    <xf numFmtId="0" fontId="3" fillId="0" borderId="67" xfId="0" applyFont="1" applyBorder="1"/>
    <xf numFmtId="0" fontId="3" fillId="0" borderId="68" xfId="0" applyFont="1" applyBorder="1"/>
    <xf numFmtId="0" fontId="3" fillId="0" borderId="34" xfId="0" applyFont="1" applyBorder="1"/>
    <xf numFmtId="0" fontId="3" fillId="0" borderId="7" xfId="0" applyFont="1" applyBorder="1"/>
    <xf numFmtId="0" fontId="3" fillId="0" borderId="35" xfId="0" applyFont="1" applyBorder="1"/>
    <xf numFmtId="0" fontId="3" fillId="0" borderId="71" xfId="0" applyFont="1" applyBorder="1"/>
    <xf numFmtId="0" fontId="3" fillId="0" borderId="72" xfId="0" applyFont="1" applyBorder="1"/>
    <xf numFmtId="0" fontId="3" fillId="0" borderId="73" xfId="0" applyFont="1" applyBorder="1"/>
    <xf numFmtId="3" fontId="3" fillId="4" borderId="78" xfId="0" applyNumberFormat="1" applyFont="1" applyFill="1" applyBorder="1" applyProtection="1">
      <protection locked="0"/>
    </xf>
    <xf numFmtId="3" fontId="3" fillId="4" borderId="76" xfId="0" applyNumberFormat="1" applyFont="1" applyFill="1" applyBorder="1" applyProtection="1">
      <protection locked="0"/>
    </xf>
    <xf numFmtId="3" fontId="3" fillId="2" borderId="76" xfId="0" applyNumberFormat="1" applyFont="1" applyFill="1" applyBorder="1"/>
    <xf numFmtId="3" fontId="3" fillId="2" borderId="77" xfId="0" applyNumberFormat="1" applyFont="1" applyFill="1" applyBorder="1"/>
    <xf numFmtId="49" fontId="3" fillId="4" borderId="79" xfId="0" applyNumberFormat="1" applyFont="1" applyFill="1" applyBorder="1" applyAlignment="1" applyProtection="1">
      <alignment horizontal="center"/>
      <protection locked="0"/>
    </xf>
    <xf numFmtId="3" fontId="3" fillId="4" borderId="66" xfId="0" applyNumberFormat="1" applyFont="1" applyFill="1" applyBorder="1" applyProtection="1">
      <protection locked="0"/>
    </xf>
    <xf numFmtId="3" fontId="3" fillId="4" borderId="67" xfId="0" applyNumberFormat="1" applyFont="1" applyFill="1" applyBorder="1" applyProtection="1">
      <protection locked="0"/>
    </xf>
    <xf numFmtId="3" fontId="3" fillId="2" borderId="7" xfId="0" applyNumberFormat="1" applyFont="1" applyFill="1" applyBorder="1"/>
    <xf numFmtId="3" fontId="3" fillId="2" borderId="67" xfId="0" applyNumberFormat="1" applyFont="1" applyFill="1" applyBorder="1"/>
    <xf numFmtId="3" fontId="3" fillId="2" borderId="68" xfId="0" applyNumberFormat="1" applyFont="1" applyFill="1" applyBorder="1"/>
    <xf numFmtId="49" fontId="3" fillId="4" borderId="45"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5" xfId="0" applyNumberFormat="1" applyFont="1" applyFill="1" applyBorder="1"/>
    <xf numFmtId="3" fontId="3" fillId="4" borderId="80"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3" fontId="3" fillId="2" borderId="82" xfId="0" applyNumberFormat="1" applyFont="1" applyFill="1" applyBorder="1"/>
    <xf numFmtId="0" fontId="3" fillId="6" borderId="65" xfId="0" applyFont="1" applyFill="1" applyBorder="1"/>
    <xf numFmtId="0" fontId="3" fillId="6" borderId="82" xfId="0" applyFont="1" applyFill="1" applyBorder="1"/>
    <xf numFmtId="3" fontId="3" fillId="2" borderId="84" xfId="0" applyNumberFormat="1" applyFont="1" applyFill="1" applyBorder="1"/>
    <xf numFmtId="0" fontId="3" fillId="6" borderId="8" xfId="0" applyFont="1" applyFill="1" applyBorder="1"/>
    <xf numFmtId="0" fontId="3" fillId="6" borderId="84" xfId="0" applyFont="1" applyFill="1" applyBorder="1"/>
    <xf numFmtId="3" fontId="3" fillId="2" borderId="86" xfId="0" applyNumberFormat="1" applyFont="1" applyFill="1" applyBorder="1"/>
    <xf numFmtId="3" fontId="3" fillId="2" borderId="88" xfId="0" applyNumberFormat="1" applyFont="1" applyFill="1" applyBorder="1"/>
    <xf numFmtId="3" fontId="3" fillId="4" borderId="62" xfId="0" applyNumberFormat="1" applyFont="1" applyFill="1" applyBorder="1" applyProtection="1">
      <protection locked="0"/>
    </xf>
    <xf numFmtId="3" fontId="3" fillId="2" borderId="63" xfId="0" applyNumberFormat="1" applyFont="1" applyFill="1" applyBorder="1"/>
    <xf numFmtId="3" fontId="3" fillId="4" borderId="63" xfId="0" applyNumberFormat="1" applyFont="1" applyFill="1" applyBorder="1" applyProtection="1">
      <protection locked="0"/>
    </xf>
    <xf numFmtId="3" fontId="3" fillId="2" borderId="23" xfId="0" applyNumberFormat="1" applyFont="1" applyFill="1" applyBorder="1"/>
    <xf numFmtId="3" fontId="3" fillId="6" borderId="65" xfId="0" applyNumberFormat="1" applyFont="1" applyFill="1" applyBorder="1" applyProtection="1">
      <protection locked="0"/>
    </xf>
    <xf numFmtId="3" fontId="3" fillId="6" borderId="8" xfId="0" applyNumberFormat="1" applyFont="1" applyFill="1" applyBorder="1" applyProtection="1">
      <protection locked="0"/>
    </xf>
    <xf numFmtId="3" fontId="3" fillId="6" borderId="81" xfId="0" applyNumberFormat="1" applyFont="1" applyFill="1" applyBorder="1" applyProtection="1">
      <protection locked="0"/>
    </xf>
    <xf numFmtId="3" fontId="3" fillId="6" borderId="65" xfId="0" applyNumberFormat="1" applyFont="1" applyFill="1" applyBorder="1"/>
    <xf numFmtId="3" fontId="3" fillId="6" borderId="83" xfId="0" applyNumberFormat="1" applyFont="1" applyFill="1" applyBorder="1" applyProtection="1">
      <protection locked="0"/>
    </xf>
    <xf numFmtId="3" fontId="3" fillId="6" borderId="8" xfId="0" applyNumberFormat="1" applyFont="1" applyFill="1" applyBorder="1"/>
    <xf numFmtId="49" fontId="3" fillId="4" borderId="89" xfId="0" applyNumberFormat="1" applyFont="1" applyFill="1" applyBorder="1" applyAlignment="1" applyProtection="1">
      <alignment horizontal="center"/>
      <protection locked="0"/>
    </xf>
    <xf numFmtId="0" fontId="3" fillId="4" borderId="67" xfId="0" applyFont="1" applyFill="1" applyBorder="1" applyAlignment="1">
      <alignment horizontal="center"/>
    </xf>
    <xf numFmtId="0" fontId="3" fillId="4" borderId="65" xfId="0" applyFont="1" applyFill="1" applyBorder="1" applyAlignment="1">
      <alignment horizontal="center"/>
    </xf>
    <xf numFmtId="0" fontId="3" fillId="4" borderId="68" xfId="0" applyFont="1" applyFill="1" applyBorder="1" applyAlignment="1">
      <alignment horizontal="center"/>
    </xf>
    <xf numFmtId="0" fontId="3" fillId="4" borderId="7" xfId="0" applyFont="1" applyFill="1" applyBorder="1"/>
    <xf numFmtId="0" fontId="3" fillId="4" borderId="8" xfId="0" applyFont="1" applyFill="1" applyBorder="1"/>
    <xf numFmtId="0" fontId="3" fillId="4" borderId="35" xfId="0" applyFont="1" applyFill="1" applyBorder="1"/>
    <xf numFmtId="0" fontId="3" fillId="4" borderId="46" xfId="0" applyFont="1" applyFill="1" applyBorder="1"/>
    <xf numFmtId="0" fontId="3" fillId="0" borderId="76" xfId="0" applyFont="1" applyBorder="1" applyAlignment="1">
      <alignment horizontal="center"/>
    </xf>
    <xf numFmtId="0" fontId="3" fillId="0" borderId="76" xfId="0" applyFont="1" applyBorder="1"/>
    <xf numFmtId="0" fontId="3" fillId="0" borderId="77" xfId="0" applyFont="1" applyBorder="1"/>
    <xf numFmtId="0" fontId="3" fillId="0" borderId="7" xfId="0" applyFont="1" applyBorder="1" applyAlignment="1">
      <alignment horizontal="center"/>
    </xf>
    <xf numFmtId="0" fontId="3" fillId="0" borderId="72" xfId="0" applyFont="1" applyBorder="1" applyAlignment="1">
      <alignment horizontal="center"/>
    </xf>
    <xf numFmtId="0" fontId="3" fillId="4" borderId="0" xfId="0" applyFont="1" applyFill="1" applyAlignment="1">
      <alignment horizontal="center" wrapText="1"/>
    </xf>
    <xf numFmtId="37" fontId="2" fillId="3" borderId="4" xfId="3" applyFont="1" applyFill="1" applyBorder="1" applyAlignment="1">
      <alignment horizontal="center" vertical="center"/>
    </xf>
    <xf numFmtId="37" fontId="2" fillId="3" borderId="26" xfId="3" applyFont="1" applyFill="1" applyBorder="1" applyAlignment="1">
      <alignment horizontal="center" vertical="center"/>
    </xf>
    <xf numFmtId="0" fontId="2" fillId="3" borderId="39"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7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56" xfId="7" applyFont="1" applyFill="1" applyBorder="1" applyAlignment="1">
      <alignment horizontal="center" vertical="center" wrapText="1"/>
    </xf>
    <xf numFmtId="0" fontId="3" fillId="4" borderId="115" xfId="7" applyFill="1" applyBorder="1" applyAlignment="1">
      <alignment vertical="top" wrapText="1"/>
    </xf>
    <xf numFmtId="0" fontId="3" fillId="4" borderId="93" xfId="7" applyFill="1" applyBorder="1" applyAlignment="1">
      <alignment vertical="top" wrapText="1"/>
    </xf>
    <xf numFmtId="0" fontId="3" fillId="4" borderId="116" xfId="7" applyFill="1" applyBorder="1" applyAlignment="1">
      <alignment vertical="top" wrapText="1"/>
    </xf>
    <xf numFmtId="0" fontId="3" fillId="4" borderId="117" xfId="7" applyFill="1" applyBorder="1" applyAlignment="1">
      <alignment vertical="top" wrapText="1"/>
    </xf>
    <xf numFmtId="9" fontId="3" fillId="4" borderId="118" xfId="8" applyFont="1" applyFill="1" applyBorder="1" applyAlignment="1">
      <alignment vertical="top" wrapText="1"/>
    </xf>
    <xf numFmtId="0" fontId="0" fillId="4" borderId="10" xfId="0" applyFill="1" applyBorder="1" applyAlignment="1">
      <alignment horizontal="center" wrapText="1"/>
    </xf>
    <xf numFmtId="0" fontId="3" fillId="4" borderId="12" xfId="0" applyFont="1" applyFill="1" applyBorder="1" applyAlignment="1" applyProtection="1">
      <alignment horizontal="center" vertical="center"/>
      <protection locked="0"/>
    </xf>
    <xf numFmtId="0" fontId="3" fillId="4" borderId="106"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106"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8" xfId="3" applyFont="1" applyFill="1" applyBorder="1" applyAlignment="1">
      <alignment horizontal="center" vertical="center"/>
    </xf>
    <xf numFmtId="37" fontId="7" fillId="3" borderId="39" xfId="3" applyFont="1" applyFill="1" applyBorder="1" applyAlignment="1">
      <alignment horizontal="center" vertical="center"/>
    </xf>
    <xf numFmtId="37" fontId="7" fillId="3" borderId="40"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7" fillId="3" borderId="38" xfId="0" applyFont="1" applyFill="1" applyBorder="1" applyAlignment="1">
      <alignment horizontal="center" vertical="center" wrapText="1"/>
    </xf>
    <xf numFmtId="0" fontId="7" fillId="3" borderId="39" xfId="0" applyFont="1" applyFill="1" applyBorder="1" applyAlignment="1">
      <alignment horizontal="center" vertical="center" wrapText="1"/>
    </xf>
    <xf numFmtId="0" fontId="7" fillId="3" borderId="40"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8" xfId="0" applyFont="1" applyFill="1" applyBorder="1" applyAlignment="1">
      <alignment horizontal="center" vertical="center"/>
    </xf>
    <xf numFmtId="0" fontId="9" fillId="3" borderId="39" xfId="0" applyFont="1" applyFill="1" applyBorder="1" applyAlignment="1">
      <alignment horizontal="center" vertical="center"/>
    </xf>
    <xf numFmtId="0" fontId="9" fillId="3" borderId="40" xfId="0" applyFont="1" applyFill="1" applyBorder="1" applyAlignment="1">
      <alignment horizontal="center" vertical="center"/>
    </xf>
    <xf numFmtId="0" fontId="3" fillId="4" borderId="10" xfId="0" applyFont="1" applyFill="1" applyBorder="1" applyAlignment="1">
      <alignment horizontal="center" wrapText="1"/>
    </xf>
    <xf numFmtId="0" fontId="3" fillId="9" borderId="12" xfId="0" applyFont="1" applyFill="1" applyBorder="1" applyAlignment="1" applyProtection="1">
      <alignment horizontal="center" vertical="center"/>
      <protection locked="0"/>
    </xf>
    <xf numFmtId="0" fontId="3" fillId="9" borderId="13" xfId="0" applyFont="1" applyFill="1" applyBorder="1" applyAlignment="1" applyProtection="1">
      <alignment horizontal="center" vertical="center"/>
      <protection locked="0"/>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37" fontId="2" fillId="3" borderId="0" xfId="3" applyFont="1" applyFill="1" applyAlignment="1">
      <alignment horizontal="center" vertical="center"/>
    </xf>
    <xf numFmtId="37" fontId="2" fillId="3" borderId="4" xfId="3" applyFont="1" applyFill="1" applyBorder="1" applyAlignment="1">
      <alignment horizontal="center" vertical="center"/>
    </xf>
    <xf numFmtId="0" fontId="3" fillId="4" borderId="13" xfId="0" applyFont="1" applyFill="1" applyBorder="1" applyAlignment="1">
      <alignment horizontal="center" vertical="center"/>
    </xf>
    <xf numFmtId="37" fontId="2" fillId="3" borderId="18" xfId="3" applyFont="1" applyFill="1" applyBorder="1" applyAlignment="1">
      <alignment horizontal="center" vertical="center"/>
    </xf>
    <xf numFmtId="37" fontId="2" fillId="3" borderId="26" xfId="3"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2" fillId="3" borderId="51" xfId="0" applyFont="1" applyFill="1" applyBorder="1" applyAlignment="1">
      <alignment horizontal="center" vertical="center"/>
    </xf>
    <xf numFmtId="0" fontId="2" fillId="3" borderId="52" xfId="0" applyFont="1" applyFill="1" applyBorder="1" applyAlignment="1">
      <alignment horizontal="center" vertical="center"/>
    </xf>
    <xf numFmtId="0" fontId="2" fillId="3" borderId="53"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41" xfId="0" applyFont="1" applyFill="1" applyBorder="1" applyAlignment="1">
      <alignment horizontal="center"/>
    </xf>
    <xf numFmtId="0" fontId="2" fillId="3" borderId="42" xfId="0" applyFont="1" applyFill="1" applyBorder="1" applyAlignment="1">
      <alignment horizontal="center"/>
    </xf>
    <xf numFmtId="0" fontId="2" fillId="3" borderId="56" xfId="0" applyFont="1" applyFill="1" applyBorder="1" applyAlignment="1">
      <alignment horizontal="center"/>
    </xf>
    <xf numFmtId="0" fontId="2" fillId="3" borderId="43" xfId="0" applyFont="1" applyFill="1" applyBorder="1" applyAlignment="1">
      <alignment horizontal="center"/>
    </xf>
    <xf numFmtId="0" fontId="3" fillId="4" borderId="72" xfId="0" applyFont="1" applyFill="1" applyBorder="1" applyAlignment="1">
      <alignment horizontal="center" vertical="center"/>
    </xf>
    <xf numFmtId="0" fontId="2" fillId="3" borderId="101" xfId="0" applyFont="1" applyFill="1" applyBorder="1" applyAlignment="1">
      <alignment horizontal="center" wrapText="1"/>
    </xf>
    <xf numFmtId="0" fontId="2" fillId="3" borderId="97" xfId="0" applyFont="1" applyFill="1" applyBorder="1" applyAlignment="1">
      <alignment horizontal="center" wrapText="1"/>
    </xf>
    <xf numFmtId="0" fontId="2" fillId="3" borderId="98" xfId="0" applyFont="1" applyFill="1" applyBorder="1" applyAlignment="1">
      <alignment horizontal="center" wrapText="1"/>
    </xf>
    <xf numFmtId="0" fontId="2" fillId="3" borderId="102" xfId="0" applyFont="1" applyFill="1" applyBorder="1" applyAlignment="1">
      <alignment horizontal="center" wrapText="1"/>
    </xf>
    <xf numFmtId="0" fontId="3" fillId="4" borderId="71"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73" xfId="0" applyFont="1" applyFill="1" applyBorder="1" applyAlignment="1">
      <alignment horizontal="center" vertical="center"/>
    </xf>
    <xf numFmtId="0" fontId="2" fillId="3" borderId="47"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38" xfId="0" applyFont="1" applyFill="1" applyBorder="1" applyAlignment="1">
      <alignment horizontal="center" vertical="center"/>
    </xf>
    <xf numFmtId="0" fontId="2" fillId="3" borderId="39" xfId="0" applyFont="1" applyFill="1" applyBorder="1" applyAlignment="1">
      <alignment horizontal="center" vertical="center"/>
    </xf>
    <xf numFmtId="0" fontId="2" fillId="3" borderId="61" xfId="0" applyFont="1" applyFill="1" applyBorder="1" applyAlignment="1">
      <alignment horizontal="center" vertical="center"/>
    </xf>
    <xf numFmtId="0" fontId="2" fillId="3" borderId="57" xfId="0" applyFont="1" applyFill="1" applyBorder="1" applyAlignment="1">
      <alignment horizontal="center" vertical="center"/>
    </xf>
    <xf numFmtId="0" fontId="2" fillId="3" borderId="40"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10" fillId="3" borderId="47" xfId="0" applyFont="1" applyFill="1" applyBorder="1" applyAlignment="1">
      <alignment horizontal="center" vertical="center" textRotation="90"/>
    </xf>
    <xf numFmtId="0" fontId="10" fillId="3" borderId="48" xfId="0" applyFont="1" applyFill="1" applyBorder="1" applyAlignment="1">
      <alignment horizontal="center" vertical="center" textRotation="90"/>
    </xf>
    <xf numFmtId="0" fontId="10" fillId="3" borderId="49" xfId="0" applyFont="1" applyFill="1" applyBorder="1" applyAlignment="1">
      <alignment horizontal="center" vertical="center" textRotation="90"/>
    </xf>
    <xf numFmtId="0" fontId="10" fillId="3" borderId="47" xfId="0" applyFont="1" applyFill="1" applyBorder="1" applyAlignment="1">
      <alignment horizontal="center" vertical="center" textRotation="90" wrapText="1"/>
    </xf>
    <xf numFmtId="0" fontId="10" fillId="3" borderId="48" xfId="0" applyFont="1" applyFill="1" applyBorder="1" applyAlignment="1">
      <alignment horizontal="center" vertical="center" textRotation="90" wrapText="1"/>
    </xf>
    <xf numFmtId="0" fontId="10" fillId="3" borderId="49" xfId="0" applyFont="1" applyFill="1" applyBorder="1" applyAlignment="1">
      <alignment horizontal="center" vertical="center" textRotation="90" wrapText="1"/>
    </xf>
    <xf numFmtId="0" fontId="2" fillId="3" borderId="19" xfId="0" applyFont="1" applyFill="1" applyBorder="1" applyAlignment="1">
      <alignment horizontal="center" vertical="center"/>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22" xfId="0" applyFont="1" applyFill="1" applyBorder="1" applyAlignment="1">
      <alignment horizontal="center" vertical="center"/>
    </xf>
    <xf numFmtId="0" fontId="2" fillId="3" borderId="62" xfId="0" applyFont="1" applyFill="1" applyBorder="1" applyAlignment="1">
      <alignment horizontal="center" vertical="center"/>
    </xf>
    <xf numFmtId="0" fontId="2" fillId="3" borderId="75" xfId="0" applyFont="1" applyFill="1" applyBorder="1" applyAlignment="1">
      <alignment horizontal="center" vertical="center"/>
    </xf>
    <xf numFmtId="0" fontId="2" fillId="3" borderId="23" xfId="0" applyFont="1" applyFill="1" applyBorder="1" applyAlignment="1">
      <alignment horizontal="center" vertical="center"/>
    </xf>
    <xf numFmtId="0" fontId="2" fillId="3" borderId="25" xfId="0" applyFont="1" applyFill="1" applyBorder="1" applyAlignment="1">
      <alignment horizontal="center" vertical="center"/>
    </xf>
    <xf numFmtId="0" fontId="2" fillId="3" borderId="18" xfId="0" applyFont="1" applyFill="1" applyBorder="1" applyAlignment="1">
      <alignment horizontal="center" vertical="center"/>
    </xf>
    <xf numFmtId="0" fontId="2" fillId="3" borderId="26" xfId="0" applyFont="1" applyFill="1" applyBorder="1" applyAlignment="1">
      <alignment horizontal="center" vertical="center"/>
    </xf>
    <xf numFmtId="0" fontId="2" fillId="3" borderId="17" xfId="0" applyFont="1" applyFill="1" applyBorder="1" applyAlignment="1">
      <alignment horizontal="center" vertical="center"/>
    </xf>
    <xf numFmtId="0" fontId="0" fillId="6" borderId="0" xfId="0" applyFill="1" applyAlignment="1">
      <alignment horizontal="center" vertical="center"/>
    </xf>
    <xf numFmtId="0" fontId="2" fillId="3" borderId="17" xfId="0" applyFont="1" applyFill="1" applyBorder="1" applyAlignment="1">
      <alignment vertical="center"/>
    </xf>
    <xf numFmtId="0" fontId="2" fillId="3" borderId="18" xfId="0" applyFont="1" applyFill="1" applyBorder="1" applyAlignment="1">
      <alignment vertical="center"/>
    </xf>
    <xf numFmtId="0" fontId="2" fillId="3" borderId="19" xfId="0" applyFont="1" applyFill="1" applyBorder="1" applyAlignment="1">
      <alignment vertical="center"/>
    </xf>
    <xf numFmtId="0" fontId="2" fillId="3" borderId="21" xfId="0" applyFont="1" applyFill="1" applyBorder="1" applyAlignment="1">
      <alignment vertical="center" wrapText="1"/>
    </xf>
    <xf numFmtId="0" fontId="2" fillId="3" borderId="22" xfId="0" applyFont="1" applyFill="1" applyBorder="1" applyAlignment="1">
      <alignment vertical="center" wrapText="1"/>
    </xf>
    <xf numFmtId="0" fontId="2" fillId="3" borderId="23" xfId="0" applyFont="1" applyFill="1" applyBorder="1" applyAlignment="1">
      <alignment vertical="center" wrapText="1"/>
    </xf>
    <xf numFmtId="0" fontId="2" fillId="3" borderId="56" xfId="0" applyFont="1" applyFill="1" applyBorder="1" applyAlignment="1">
      <alignment horizontal="center" vertical="center"/>
    </xf>
    <xf numFmtId="0" fontId="2" fillId="3" borderId="104" xfId="0" applyFont="1" applyFill="1" applyBorder="1" applyAlignment="1">
      <alignment horizontal="center" vertical="center"/>
    </xf>
    <xf numFmtId="0" fontId="2" fillId="3" borderId="105" xfId="0" applyFont="1" applyFill="1" applyBorder="1" applyAlignment="1">
      <alignment horizontal="center" vertical="center"/>
    </xf>
    <xf numFmtId="0" fontId="2" fillId="3" borderId="103" xfId="0" applyFont="1" applyFill="1" applyBorder="1" applyAlignment="1">
      <alignment horizontal="center" vertical="center"/>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cellXfs>
  <cellStyles count="10">
    <cellStyle name="Euro" xfId="2" xr:uid="{9890ECBE-E9ED-4A37-8954-9512749CEB93}"/>
    <cellStyle name="Euro 2" xfId="6" xr:uid="{A63B1507-37D0-471E-841E-02B917A1E7EC}"/>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Percent 2" xfId="5" xr:uid="{85FDCE96-1CC4-417F-8BC3-4D88C6F20B14}"/>
    <cellStyle name="Percent 2 2" xfId="8" xr:uid="{C8A1E6A3-0968-446A-B203-5BD265D9326E}"/>
    <cellStyle name="Standard_ZESSIM1" xfId="3" xr:uid="{D0E0ADA5-FF9B-4177-999F-9E000CF1013E}"/>
  </cellStyles>
  <dxfs count="27">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175788"/>
      <color rgb="FF26B8AD"/>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162144</xdr:colOff>
      <xdr:row>1</xdr:row>
      <xdr:rowOff>428544</xdr:rowOff>
    </xdr:to>
    <xdr:pic>
      <xdr:nvPicPr>
        <xdr:cNvPr id="2" name="Picture 1">
          <a:extLst>
            <a:ext uri="{FF2B5EF4-FFF2-40B4-BE49-F238E27FC236}">
              <a16:creationId xmlns:a16="http://schemas.microsoft.com/office/drawing/2014/main" id="{99EA1900-180E-47A3-BD57-146AD0E63073}"/>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8CA2AAEE-17E3-4A51-8650-BF24B3561B59}"/>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E28DA640-CE2A-492F-92B7-F22A95890236}"/>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168494</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825719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679295</xdr:colOff>
      <xdr:row>1</xdr:row>
      <xdr:rowOff>428544</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8420" cy="43171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1</xdr:col>
      <xdr:colOff>0</xdr:colOff>
      <xdr:row>1</xdr:row>
      <xdr:rowOff>0</xdr:rowOff>
    </xdr:from>
    <xdr:ext cx="1292444" cy="431719"/>
    <xdr:pic>
      <xdr:nvPicPr>
        <xdr:cNvPr id="2" name="Picture 1">
          <a:extLst>
            <a:ext uri="{FF2B5EF4-FFF2-40B4-BE49-F238E27FC236}">
              <a16:creationId xmlns:a16="http://schemas.microsoft.com/office/drawing/2014/main" id="{6FDA1EA2-D81B-4EF2-9734-9F3EC188834C}"/>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800100" y="161925"/>
          <a:ext cx="1292444" cy="431719"/>
        </a:xfrm>
        <a:prstGeom prst="rect">
          <a:avLst/>
        </a:prstGeom>
      </xdr:spPr>
    </xdr:pic>
    <xdr:clientData/>
  </xdr:one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23" dataDxfId="21" headerRowBorderDxfId="22" tableBorderDxfId="20" totalsRowBorderDxfId="19">
  <autoFilter ref="B5:I16" xr:uid="{B68BBFDB-4AB2-49F4-A3BF-4CDCD93DE666}"/>
  <tableColumns count="8">
    <tableColumn id="1" xr3:uid="{63D3F5D0-3E37-435B-95E1-79C3E693BCD2}" name="Number" dataDxfId="18"/>
    <tableColumn id="2" xr3:uid="{B98D5C70-51C7-4F2B-A176-FDCA837E4A92}" name="Required Information" dataDxfId="17"/>
    <tableColumn id="3" xr3:uid="{54024A9A-1FC5-4CFE-8155-2DFDF4CFDB4A}" name="Breakdown" dataDxfId="16"/>
    <tableColumn id="4" xr3:uid="{CE7574B4-CBBB-47D1-8C11-96835F8382D5}" name="Pricing Element" dataDxfId="15"/>
    <tableColumn id="5" xr3:uid="{E456926A-0425-4D99-9B79-5496F92E1355}" name="Comments" dataDxfId="14"/>
    <tableColumn id="6" xr3:uid="{B52DAB31-7022-4AB6-BDF1-8F88130DF243}" name="Info acquired" dataDxfId="13"/>
    <tableColumn id="8" xr3:uid="{C91D766D-2785-44B3-801E-8DE8725A524B}" name="Template" dataDxfId="12"/>
    <tableColumn id="7" xr3:uid="{49B28206-97B4-49AE-AD8B-475497AED991}" name="UW Comments" dataDxfId="1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10" dataDxfId="8" headerRowBorderDxfId="9" tableBorderDxfId="7">
  <autoFilter ref="B19:H37" xr:uid="{5DC64CBF-E660-4591-8B16-63922D54EBB3}"/>
  <tableColumns count="7">
    <tableColumn id="1" xr3:uid="{C4929751-2319-427E-9370-880618AC4E39}" name="Number" dataDxfId="6">
      <calculatedColumnFormula>+B19+1</calculatedColumnFormula>
    </tableColumn>
    <tableColumn id="2" xr3:uid="{57D8BB9F-F7C8-4EBD-9CFE-70B7289BA6CB}" name="Required Information" dataDxfId="5"/>
    <tableColumn id="3" xr3:uid="{F49BC0FA-49E2-4653-9AB3-5731EE46032F}" name="Breakdown" dataDxfId="4"/>
    <tableColumn id="4" xr3:uid="{97E1D201-8365-4367-9368-B1802C6ABFF5}" name="Pricing Element" dataDxfId="3"/>
    <tableColumn id="5" xr3:uid="{CA7F29AC-4374-4F1A-9825-AD428EEB40B5}" name="Comments" dataDxfId="2"/>
    <tableColumn id="6" xr3:uid="{F1999D6E-AA5C-411B-A203-684412FA67D0}" name="Info acquired" dataDxfId="1"/>
    <tableColumn id="7" xr3:uid="{D9A5F6E4-598F-4B00-AE72-8E0192E29062}" name="UW Comments"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K64"/>
  <sheetViews>
    <sheetView zoomScaleNormal="100" workbookViewId="0"/>
  </sheetViews>
  <sheetFormatPr defaultColWidth="11.42578125" defaultRowHeight="12.75" x14ac:dyDescent="0.2"/>
  <cols>
    <col min="1" max="1" width="2.7109375" style="174" customWidth="1"/>
    <col min="2" max="2" width="6.7109375" style="174" customWidth="1"/>
    <col min="3" max="3" width="21" style="174" customWidth="1"/>
    <col min="4" max="4" width="1.5703125" style="174" customWidth="1"/>
    <col min="5" max="7" width="13.7109375" style="174" customWidth="1"/>
    <col min="8" max="8" width="10.42578125" style="174" customWidth="1"/>
    <col min="9" max="9" width="11.85546875" style="174" customWidth="1"/>
    <col min="10" max="10" width="7.85546875" style="174" customWidth="1"/>
    <col min="11" max="254" width="11.42578125" style="174"/>
    <col min="255" max="255" width="6.7109375" style="174" customWidth="1"/>
    <col min="256" max="256" width="13.7109375" style="174" customWidth="1"/>
    <col min="257" max="257" width="1.5703125" style="174" customWidth="1"/>
    <col min="258" max="265" width="13.7109375" style="174" customWidth="1"/>
    <col min="266" max="510" width="11.42578125" style="174"/>
    <col min="511" max="511" width="6.7109375" style="174" customWidth="1"/>
    <col min="512" max="512" width="13.7109375" style="174" customWidth="1"/>
    <col min="513" max="513" width="1.5703125" style="174" customWidth="1"/>
    <col min="514" max="521" width="13.7109375" style="174" customWidth="1"/>
    <col min="522" max="766" width="11.42578125" style="174"/>
    <col min="767" max="767" width="6.7109375" style="174" customWidth="1"/>
    <col min="768" max="768" width="13.7109375" style="174" customWidth="1"/>
    <col min="769" max="769" width="1.5703125" style="174" customWidth="1"/>
    <col min="770" max="777" width="13.7109375" style="174" customWidth="1"/>
    <col min="778" max="1022" width="11.42578125" style="174"/>
    <col min="1023" max="1023" width="6.7109375" style="174" customWidth="1"/>
    <col min="1024" max="1024" width="13.7109375" style="174" customWidth="1"/>
    <col min="1025" max="1025" width="1.5703125" style="174" customWidth="1"/>
    <col min="1026" max="1033" width="13.7109375" style="174" customWidth="1"/>
    <col min="1034" max="1278" width="11.42578125" style="174"/>
    <col min="1279" max="1279" width="6.7109375" style="174" customWidth="1"/>
    <col min="1280" max="1280" width="13.7109375" style="174" customWidth="1"/>
    <col min="1281" max="1281" width="1.5703125" style="174" customWidth="1"/>
    <col min="1282" max="1289" width="13.7109375" style="174" customWidth="1"/>
    <col min="1290" max="1534" width="11.42578125" style="174"/>
    <col min="1535" max="1535" width="6.7109375" style="174" customWidth="1"/>
    <col min="1536" max="1536" width="13.7109375" style="174" customWidth="1"/>
    <col min="1537" max="1537" width="1.5703125" style="174" customWidth="1"/>
    <col min="1538" max="1545" width="13.7109375" style="174" customWidth="1"/>
    <col min="1546" max="1790" width="11.42578125" style="174"/>
    <col min="1791" max="1791" width="6.7109375" style="174" customWidth="1"/>
    <col min="1792" max="1792" width="13.7109375" style="174" customWidth="1"/>
    <col min="1793" max="1793" width="1.5703125" style="174" customWidth="1"/>
    <col min="1794" max="1801" width="13.7109375" style="174" customWidth="1"/>
    <col min="1802" max="2046" width="11.42578125" style="174"/>
    <col min="2047" max="2047" width="6.7109375" style="174" customWidth="1"/>
    <col min="2048" max="2048" width="13.7109375" style="174" customWidth="1"/>
    <col min="2049" max="2049" width="1.5703125" style="174" customWidth="1"/>
    <col min="2050" max="2057" width="13.7109375" style="174" customWidth="1"/>
    <col min="2058" max="2302" width="11.42578125" style="174"/>
    <col min="2303" max="2303" width="6.7109375" style="174" customWidth="1"/>
    <col min="2304" max="2304" width="13.7109375" style="174" customWidth="1"/>
    <col min="2305" max="2305" width="1.5703125" style="174" customWidth="1"/>
    <col min="2306" max="2313" width="13.7109375" style="174" customWidth="1"/>
    <col min="2314" max="2558" width="11.42578125" style="174"/>
    <col min="2559" max="2559" width="6.7109375" style="174" customWidth="1"/>
    <col min="2560" max="2560" width="13.7109375" style="174" customWidth="1"/>
    <col min="2561" max="2561" width="1.5703125" style="174" customWidth="1"/>
    <col min="2562" max="2569" width="13.7109375" style="174" customWidth="1"/>
    <col min="2570" max="2814" width="11.42578125" style="174"/>
    <col min="2815" max="2815" width="6.7109375" style="174" customWidth="1"/>
    <col min="2816" max="2816" width="13.7109375" style="174" customWidth="1"/>
    <col min="2817" max="2817" width="1.5703125" style="174" customWidth="1"/>
    <col min="2818" max="2825" width="13.7109375" style="174" customWidth="1"/>
    <col min="2826" max="3070" width="11.42578125" style="174"/>
    <col min="3071" max="3071" width="6.7109375" style="174" customWidth="1"/>
    <col min="3072" max="3072" width="13.7109375" style="174" customWidth="1"/>
    <col min="3073" max="3073" width="1.5703125" style="174" customWidth="1"/>
    <col min="3074" max="3081" width="13.7109375" style="174" customWidth="1"/>
    <col min="3082" max="3326" width="11.42578125" style="174"/>
    <col min="3327" max="3327" width="6.7109375" style="174" customWidth="1"/>
    <col min="3328" max="3328" width="13.7109375" style="174" customWidth="1"/>
    <col min="3329" max="3329" width="1.5703125" style="174" customWidth="1"/>
    <col min="3330" max="3337" width="13.7109375" style="174" customWidth="1"/>
    <col min="3338" max="3582" width="11.42578125" style="174"/>
    <col min="3583" max="3583" width="6.7109375" style="174" customWidth="1"/>
    <col min="3584" max="3584" width="13.7109375" style="174" customWidth="1"/>
    <col min="3585" max="3585" width="1.5703125" style="174" customWidth="1"/>
    <col min="3586" max="3593" width="13.7109375" style="174" customWidth="1"/>
    <col min="3594" max="3838" width="11.42578125" style="174"/>
    <col min="3839" max="3839" width="6.7109375" style="174" customWidth="1"/>
    <col min="3840" max="3840" width="13.7109375" style="174" customWidth="1"/>
    <col min="3841" max="3841" width="1.5703125" style="174" customWidth="1"/>
    <col min="3842" max="3849" width="13.7109375" style="174" customWidth="1"/>
    <col min="3850" max="4094" width="11.42578125" style="174"/>
    <col min="4095" max="4095" width="6.7109375" style="174" customWidth="1"/>
    <col min="4096" max="4096" width="13.7109375" style="174" customWidth="1"/>
    <col min="4097" max="4097" width="1.5703125" style="174" customWidth="1"/>
    <col min="4098" max="4105" width="13.7109375" style="174" customWidth="1"/>
    <col min="4106" max="4350" width="11.42578125" style="174"/>
    <col min="4351" max="4351" width="6.7109375" style="174" customWidth="1"/>
    <col min="4352" max="4352" width="13.7109375" style="174" customWidth="1"/>
    <col min="4353" max="4353" width="1.5703125" style="174" customWidth="1"/>
    <col min="4354" max="4361" width="13.7109375" style="174" customWidth="1"/>
    <col min="4362" max="4606" width="11.42578125" style="174"/>
    <col min="4607" max="4607" width="6.7109375" style="174" customWidth="1"/>
    <col min="4608" max="4608" width="13.7109375" style="174" customWidth="1"/>
    <col min="4609" max="4609" width="1.5703125" style="174" customWidth="1"/>
    <col min="4610" max="4617" width="13.7109375" style="174" customWidth="1"/>
    <col min="4618" max="4862" width="11.42578125" style="174"/>
    <col min="4863" max="4863" width="6.7109375" style="174" customWidth="1"/>
    <col min="4864" max="4864" width="13.7109375" style="174" customWidth="1"/>
    <col min="4865" max="4865" width="1.5703125" style="174" customWidth="1"/>
    <col min="4866" max="4873" width="13.7109375" style="174" customWidth="1"/>
    <col min="4874" max="5118" width="11.42578125" style="174"/>
    <col min="5119" max="5119" width="6.7109375" style="174" customWidth="1"/>
    <col min="5120" max="5120" width="13.7109375" style="174" customWidth="1"/>
    <col min="5121" max="5121" width="1.5703125" style="174" customWidth="1"/>
    <col min="5122" max="5129" width="13.7109375" style="174" customWidth="1"/>
    <col min="5130" max="5374" width="11.42578125" style="174"/>
    <col min="5375" max="5375" width="6.7109375" style="174" customWidth="1"/>
    <col min="5376" max="5376" width="13.7109375" style="174" customWidth="1"/>
    <col min="5377" max="5377" width="1.5703125" style="174" customWidth="1"/>
    <col min="5378" max="5385" width="13.7109375" style="174" customWidth="1"/>
    <col min="5386" max="5630" width="11.42578125" style="174"/>
    <col min="5631" max="5631" width="6.7109375" style="174" customWidth="1"/>
    <col min="5632" max="5632" width="13.7109375" style="174" customWidth="1"/>
    <col min="5633" max="5633" width="1.5703125" style="174" customWidth="1"/>
    <col min="5634" max="5641" width="13.7109375" style="174" customWidth="1"/>
    <col min="5642" max="5886" width="11.42578125" style="174"/>
    <col min="5887" max="5887" width="6.7109375" style="174" customWidth="1"/>
    <col min="5888" max="5888" width="13.7109375" style="174" customWidth="1"/>
    <col min="5889" max="5889" width="1.5703125" style="174" customWidth="1"/>
    <col min="5890" max="5897" width="13.7109375" style="174" customWidth="1"/>
    <col min="5898" max="6142" width="11.42578125" style="174"/>
    <col min="6143" max="6143" width="6.7109375" style="174" customWidth="1"/>
    <col min="6144" max="6144" width="13.7109375" style="174" customWidth="1"/>
    <col min="6145" max="6145" width="1.5703125" style="174" customWidth="1"/>
    <col min="6146" max="6153" width="13.7109375" style="174" customWidth="1"/>
    <col min="6154" max="6398" width="11.42578125" style="174"/>
    <col min="6399" max="6399" width="6.7109375" style="174" customWidth="1"/>
    <col min="6400" max="6400" width="13.7109375" style="174" customWidth="1"/>
    <col min="6401" max="6401" width="1.5703125" style="174" customWidth="1"/>
    <col min="6402" max="6409" width="13.7109375" style="174" customWidth="1"/>
    <col min="6410" max="6654" width="11.42578125" style="174"/>
    <col min="6655" max="6655" width="6.7109375" style="174" customWidth="1"/>
    <col min="6656" max="6656" width="13.7109375" style="174" customWidth="1"/>
    <col min="6657" max="6657" width="1.5703125" style="174" customWidth="1"/>
    <col min="6658" max="6665" width="13.7109375" style="174" customWidth="1"/>
    <col min="6666" max="6910" width="11.42578125" style="174"/>
    <col min="6911" max="6911" width="6.7109375" style="174" customWidth="1"/>
    <col min="6912" max="6912" width="13.7109375" style="174" customWidth="1"/>
    <col min="6913" max="6913" width="1.5703125" style="174" customWidth="1"/>
    <col min="6914" max="6921" width="13.7109375" style="174" customWidth="1"/>
    <col min="6922" max="7166" width="11.42578125" style="174"/>
    <col min="7167" max="7167" width="6.7109375" style="174" customWidth="1"/>
    <col min="7168" max="7168" width="13.7109375" style="174" customWidth="1"/>
    <col min="7169" max="7169" width="1.5703125" style="174" customWidth="1"/>
    <col min="7170" max="7177" width="13.7109375" style="174" customWidth="1"/>
    <col min="7178" max="7422" width="11.42578125" style="174"/>
    <col min="7423" max="7423" width="6.7109375" style="174" customWidth="1"/>
    <col min="7424" max="7424" width="13.7109375" style="174" customWidth="1"/>
    <col min="7425" max="7425" width="1.5703125" style="174" customWidth="1"/>
    <col min="7426" max="7433" width="13.7109375" style="174" customWidth="1"/>
    <col min="7434" max="7678" width="11.42578125" style="174"/>
    <col min="7679" max="7679" width="6.7109375" style="174" customWidth="1"/>
    <col min="7680" max="7680" width="13.7109375" style="174" customWidth="1"/>
    <col min="7681" max="7681" width="1.5703125" style="174" customWidth="1"/>
    <col min="7682" max="7689" width="13.7109375" style="174" customWidth="1"/>
    <col min="7690" max="7934" width="11.42578125" style="174"/>
    <col min="7935" max="7935" width="6.7109375" style="174" customWidth="1"/>
    <col min="7936" max="7936" width="13.7109375" style="174" customWidth="1"/>
    <col min="7937" max="7937" width="1.5703125" style="174" customWidth="1"/>
    <col min="7938" max="7945" width="13.7109375" style="174" customWidth="1"/>
    <col min="7946" max="8190" width="11.42578125" style="174"/>
    <col min="8191" max="8191" width="6.7109375" style="174" customWidth="1"/>
    <col min="8192" max="8192" width="13.7109375" style="174" customWidth="1"/>
    <col min="8193" max="8193" width="1.5703125" style="174" customWidth="1"/>
    <col min="8194" max="8201" width="13.7109375" style="174" customWidth="1"/>
    <col min="8202" max="8446" width="11.42578125" style="174"/>
    <col min="8447" max="8447" width="6.7109375" style="174" customWidth="1"/>
    <col min="8448" max="8448" width="13.7109375" style="174" customWidth="1"/>
    <col min="8449" max="8449" width="1.5703125" style="174" customWidth="1"/>
    <col min="8450" max="8457" width="13.7109375" style="174" customWidth="1"/>
    <col min="8458" max="8702" width="11.42578125" style="174"/>
    <col min="8703" max="8703" width="6.7109375" style="174" customWidth="1"/>
    <col min="8704" max="8704" width="13.7109375" style="174" customWidth="1"/>
    <col min="8705" max="8705" width="1.5703125" style="174" customWidth="1"/>
    <col min="8706" max="8713" width="13.7109375" style="174" customWidth="1"/>
    <col min="8714" max="8958" width="11.42578125" style="174"/>
    <col min="8959" max="8959" width="6.7109375" style="174" customWidth="1"/>
    <col min="8960" max="8960" width="13.7109375" style="174" customWidth="1"/>
    <col min="8961" max="8961" width="1.5703125" style="174" customWidth="1"/>
    <col min="8962" max="8969" width="13.7109375" style="174" customWidth="1"/>
    <col min="8970" max="9214" width="11.42578125" style="174"/>
    <col min="9215" max="9215" width="6.7109375" style="174" customWidth="1"/>
    <col min="9216" max="9216" width="13.7109375" style="174" customWidth="1"/>
    <col min="9217" max="9217" width="1.5703125" style="174" customWidth="1"/>
    <col min="9218" max="9225" width="13.7109375" style="174" customWidth="1"/>
    <col min="9226" max="9470" width="11.42578125" style="174"/>
    <col min="9471" max="9471" width="6.7109375" style="174" customWidth="1"/>
    <col min="9472" max="9472" width="13.7109375" style="174" customWidth="1"/>
    <col min="9473" max="9473" width="1.5703125" style="174" customWidth="1"/>
    <col min="9474" max="9481" width="13.7109375" style="174" customWidth="1"/>
    <col min="9482" max="9726" width="11.42578125" style="174"/>
    <col min="9727" max="9727" width="6.7109375" style="174" customWidth="1"/>
    <col min="9728" max="9728" width="13.7109375" style="174" customWidth="1"/>
    <col min="9729" max="9729" width="1.5703125" style="174" customWidth="1"/>
    <col min="9730" max="9737" width="13.7109375" style="174" customWidth="1"/>
    <col min="9738" max="9982" width="11.42578125" style="174"/>
    <col min="9983" max="9983" width="6.7109375" style="174" customWidth="1"/>
    <col min="9984" max="9984" width="13.7109375" style="174" customWidth="1"/>
    <col min="9985" max="9985" width="1.5703125" style="174" customWidth="1"/>
    <col min="9986" max="9993" width="13.7109375" style="174" customWidth="1"/>
    <col min="9994" max="10238" width="11.42578125" style="174"/>
    <col min="10239" max="10239" width="6.7109375" style="174" customWidth="1"/>
    <col min="10240" max="10240" width="13.7109375" style="174" customWidth="1"/>
    <col min="10241" max="10241" width="1.5703125" style="174" customWidth="1"/>
    <col min="10242" max="10249" width="13.7109375" style="174" customWidth="1"/>
    <col min="10250" max="10494" width="11.42578125" style="174"/>
    <col min="10495" max="10495" width="6.7109375" style="174" customWidth="1"/>
    <col min="10496" max="10496" width="13.7109375" style="174" customWidth="1"/>
    <col min="10497" max="10497" width="1.5703125" style="174" customWidth="1"/>
    <col min="10498" max="10505" width="13.7109375" style="174" customWidth="1"/>
    <col min="10506" max="10750" width="11.42578125" style="174"/>
    <col min="10751" max="10751" width="6.7109375" style="174" customWidth="1"/>
    <col min="10752" max="10752" width="13.7109375" style="174" customWidth="1"/>
    <col min="10753" max="10753" width="1.5703125" style="174" customWidth="1"/>
    <col min="10754" max="10761" width="13.7109375" style="174" customWidth="1"/>
    <col min="10762" max="11006" width="11.42578125" style="174"/>
    <col min="11007" max="11007" width="6.7109375" style="174" customWidth="1"/>
    <col min="11008" max="11008" width="13.7109375" style="174" customWidth="1"/>
    <col min="11009" max="11009" width="1.5703125" style="174" customWidth="1"/>
    <col min="11010" max="11017" width="13.7109375" style="174" customWidth="1"/>
    <col min="11018" max="11262" width="11.42578125" style="174"/>
    <col min="11263" max="11263" width="6.7109375" style="174" customWidth="1"/>
    <col min="11264" max="11264" width="13.7109375" style="174" customWidth="1"/>
    <col min="11265" max="11265" width="1.5703125" style="174" customWidth="1"/>
    <col min="11266" max="11273" width="13.7109375" style="174" customWidth="1"/>
    <col min="11274" max="11518" width="11.42578125" style="174"/>
    <col min="11519" max="11519" width="6.7109375" style="174" customWidth="1"/>
    <col min="11520" max="11520" width="13.7109375" style="174" customWidth="1"/>
    <col min="11521" max="11521" width="1.5703125" style="174" customWidth="1"/>
    <col min="11522" max="11529" width="13.7109375" style="174" customWidth="1"/>
    <col min="11530" max="11774" width="11.42578125" style="174"/>
    <col min="11775" max="11775" width="6.7109375" style="174" customWidth="1"/>
    <col min="11776" max="11776" width="13.7109375" style="174" customWidth="1"/>
    <col min="11777" max="11777" width="1.5703125" style="174" customWidth="1"/>
    <col min="11778" max="11785" width="13.7109375" style="174" customWidth="1"/>
    <col min="11786" max="12030" width="11.42578125" style="174"/>
    <col min="12031" max="12031" width="6.7109375" style="174" customWidth="1"/>
    <col min="12032" max="12032" width="13.7109375" style="174" customWidth="1"/>
    <col min="12033" max="12033" width="1.5703125" style="174" customWidth="1"/>
    <col min="12034" max="12041" width="13.7109375" style="174" customWidth="1"/>
    <col min="12042" max="12286" width="11.42578125" style="174"/>
    <col min="12287" max="12287" width="6.7109375" style="174" customWidth="1"/>
    <col min="12288" max="12288" width="13.7109375" style="174" customWidth="1"/>
    <col min="12289" max="12289" width="1.5703125" style="174" customWidth="1"/>
    <col min="12290" max="12297" width="13.7109375" style="174" customWidth="1"/>
    <col min="12298" max="12542" width="11.42578125" style="174"/>
    <col min="12543" max="12543" width="6.7109375" style="174" customWidth="1"/>
    <col min="12544" max="12544" width="13.7109375" style="174" customWidth="1"/>
    <col min="12545" max="12545" width="1.5703125" style="174" customWidth="1"/>
    <col min="12546" max="12553" width="13.7109375" style="174" customWidth="1"/>
    <col min="12554" max="12798" width="11.42578125" style="174"/>
    <col min="12799" max="12799" width="6.7109375" style="174" customWidth="1"/>
    <col min="12800" max="12800" width="13.7109375" style="174" customWidth="1"/>
    <col min="12801" max="12801" width="1.5703125" style="174" customWidth="1"/>
    <col min="12802" max="12809" width="13.7109375" style="174" customWidth="1"/>
    <col min="12810" max="13054" width="11.42578125" style="174"/>
    <col min="13055" max="13055" width="6.7109375" style="174" customWidth="1"/>
    <col min="13056" max="13056" width="13.7109375" style="174" customWidth="1"/>
    <col min="13057" max="13057" width="1.5703125" style="174" customWidth="1"/>
    <col min="13058" max="13065" width="13.7109375" style="174" customWidth="1"/>
    <col min="13066" max="13310" width="11.42578125" style="174"/>
    <col min="13311" max="13311" width="6.7109375" style="174" customWidth="1"/>
    <col min="13312" max="13312" width="13.7109375" style="174" customWidth="1"/>
    <col min="13313" max="13313" width="1.5703125" style="174" customWidth="1"/>
    <col min="13314" max="13321" width="13.7109375" style="174" customWidth="1"/>
    <col min="13322" max="13566" width="11.42578125" style="174"/>
    <col min="13567" max="13567" width="6.7109375" style="174" customWidth="1"/>
    <col min="13568" max="13568" width="13.7109375" style="174" customWidth="1"/>
    <col min="13569" max="13569" width="1.5703125" style="174" customWidth="1"/>
    <col min="13570" max="13577" width="13.7109375" style="174" customWidth="1"/>
    <col min="13578" max="13822" width="11.42578125" style="174"/>
    <col min="13823" max="13823" width="6.7109375" style="174" customWidth="1"/>
    <col min="13824" max="13824" width="13.7109375" style="174" customWidth="1"/>
    <col min="13825" max="13825" width="1.5703125" style="174" customWidth="1"/>
    <col min="13826" max="13833" width="13.7109375" style="174" customWidth="1"/>
    <col min="13834" max="14078" width="11.42578125" style="174"/>
    <col min="14079" max="14079" width="6.7109375" style="174" customWidth="1"/>
    <col min="14080" max="14080" width="13.7109375" style="174" customWidth="1"/>
    <col min="14081" max="14081" width="1.5703125" style="174" customWidth="1"/>
    <col min="14082" max="14089" width="13.7109375" style="174" customWidth="1"/>
    <col min="14090" max="14334" width="11.42578125" style="174"/>
    <col min="14335" max="14335" width="6.7109375" style="174" customWidth="1"/>
    <col min="14336" max="14336" width="13.7109375" style="174" customWidth="1"/>
    <col min="14337" max="14337" width="1.5703125" style="174" customWidth="1"/>
    <col min="14338" max="14345" width="13.7109375" style="174" customWidth="1"/>
    <col min="14346" max="14590" width="11.42578125" style="174"/>
    <col min="14591" max="14591" width="6.7109375" style="174" customWidth="1"/>
    <col min="14592" max="14592" width="13.7109375" style="174" customWidth="1"/>
    <col min="14593" max="14593" width="1.5703125" style="174" customWidth="1"/>
    <col min="14594" max="14601" width="13.7109375" style="174" customWidth="1"/>
    <col min="14602" max="14846" width="11.42578125" style="174"/>
    <col min="14847" max="14847" width="6.7109375" style="174" customWidth="1"/>
    <col min="14848" max="14848" width="13.7109375" style="174" customWidth="1"/>
    <col min="14849" max="14849" width="1.5703125" style="174" customWidth="1"/>
    <col min="14850" max="14857" width="13.7109375" style="174" customWidth="1"/>
    <col min="14858" max="15102" width="11.42578125" style="174"/>
    <col min="15103" max="15103" width="6.7109375" style="174" customWidth="1"/>
    <col min="15104" max="15104" width="13.7109375" style="174" customWidth="1"/>
    <col min="15105" max="15105" width="1.5703125" style="174" customWidth="1"/>
    <col min="15106" max="15113" width="13.7109375" style="174" customWidth="1"/>
    <col min="15114" max="15358" width="11.42578125" style="174"/>
    <col min="15359" max="15359" width="6.7109375" style="174" customWidth="1"/>
    <col min="15360" max="15360" width="13.7109375" style="174" customWidth="1"/>
    <col min="15361" max="15361" width="1.5703125" style="174" customWidth="1"/>
    <col min="15362" max="15369" width="13.7109375" style="174" customWidth="1"/>
    <col min="15370" max="15614" width="11.42578125" style="174"/>
    <col min="15615" max="15615" width="6.7109375" style="174" customWidth="1"/>
    <col min="15616" max="15616" width="13.7109375" style="174" customWidth="1"/>
    <col min="15617" max="15617" width="1.5703125" style="174" customWidth="1"/>
    <col min="15618" max="15625" width="13.7109375" style="174" customWidth="1"/>
    <col min="15626" max="15870" width="11.42578125" style="174"/>
    <col min="15871" max="15871" width="6.7109375" style="174" customWidth="1"/>
    <col min="15872" max="15872" width="13.7109375" style="174" customWidth="1"/>
    <col min="15873" max="15873" width="1.5703125" style="174" customWidth="1"/>
    <col min="15874" max="15881" width="13.7109375" style="174" customWidth="1"/>
    <col min="15882" max="16126" width="11.42578125" style="174"/>
    <col min="16127" max="16127" width="6.7109375" style="174" customWidth="1"/>
    <col min="16128" max="16128" width="13.7109375" style="174" customWidth="1"/>
    <col min="16129" max="16129" width="1.5703125" style="174" customWidth="1"/>
    <col min="16130" max="16137" width="13.7109375" style="174" customWidth="1"/>
    <col min="16138" max="16384" width="11.42578125" style="174"/>
  </cols>
  <sheetData>
    <row r="1" spans="1:11" ht="13.5" thickBot="1" x14ac:dyDescent="0.25"/>
    <row r="2" spans="1:11" ht="47.1" customHeight="1" thickBot="1" x14ac:dyDescent="0.25">
      <c r="A2" s="174" t="s">
        <v>0</v>
      </c>
      <c r="B2" s="390" t="s">
        <v>1</v>
      </c>
      <c r="C2" s="391"/>
      <c r="D2" s="391"/>
      <c r="E2" s="391"/>
      <c r="F2" s="391"/>
      <c r="G2" s="391"/>
      <c r="H2" s="391"/>
      <c r="I2" s="392"/>
      <c r="J2" s="245" t="s">
        <v>2</v>
      </c>
    </row>
    <row r="3" spans="1:11" s="173" customFormat="1" x14ac:dyDescent="0.2"/>
    <row r="4" spans="1:11" s="173" customFormat="1" ht="14.45" customHeight="1" x14ac:dyDescent="0.2">
      <c r="C4" s="177" t="s">
        <v>3</v>
      </c>
      <c r="D4" s="384"/>
      <c r="E4" s="385"/>
      <c r="F4" s="385"/>
      <c r="G4" s="386"/>
      <c r="H4" s="179"/>
      <c r="K4" s="172"/>
    </row>
    <row r="5" spans="1:11" s="173" customFormat="1" ht="14.45" customHeight="1" x14ac:dyDescent="0.2">
      <c r="C5" s="177" t="s">
        <v>4</v>
      </c>
      <c r="D5" s="384"/>
      <c r="E5" s="385"/>
      <c r="F5" s="385"/>
      <c r="G5" s="386"/>
      <c r="H5" s="179"/>
    </row>
    <row r="6" spans="1:11" s="173" customFormat="1" ht="14.45" customHeight="1" x14ac:dyDescent="0.2">
      <c r="C6" s="177" t="s">
        <v>5</v>
      </c>
      <c r="D6" s="384"/>
      <c r="E6" s="385"/>
      <c r="F6" s="385"/>
      <c r="G6" s="386"/>
      <c r="H6" s="179"/>
    </row>
    <row r="7" spans="1:11" s="173" customFormat="1" ht="14.45" customHeight="1" x14ac:dyDescent="0.2">
      <c r="H7" s="179"/>
    </row>
    <row r="8" spans="1:11" s="173" customFormat="1" ht="14.45" customHeight="1" x14ac:dyDescent="0.2">
      <c r="C8" s="177" t="s">
        <v>6</v>
      </c>
      <c r="D8" s="384"/>
      <c r="E8" s="385"/>
      <c r="F8" s="385"/>
      <c r="G8" s="386"/>
      <c r="H8" s="179" t="s">
        <v>7</v>
      </c>
    </row>
    <row r="9" spans="1:11" s="173" customFormat="1" ht="14.45" customHeight="1" x14ac:dyDescent="0.2">
      <c r="C9" s="177" t="s">
        <v>8</v>
      </c>
      <c r="D9" s="384"/>
      <c r="E9" s="385"/>
      <c r="F9" s="385"/>
      <c r="G9" s="386"/>
      <c r="H9" s="179" t="s">
        <v>7</v>
      </c>
    </row>
    <row r="10" spans="1:11" s="173" customFormat="1" ht="14.45" customHeight="1" x14ac:dyDescent="0.2">
      <c r="H10" s="179"/>
    </row>
    <row r="11" spans="1:11" s="173" customFormat="1" ht="14.45" customHeight="1" x14ac:dyDescent="0.2">
      <c r="C11" s="177" t="s">
        <v>9</v>
      </c>
      <c r="D11" s="387"/>
      <c r="E11" s="388"/>
      <c r="F11" s="388"/>
      <c r="G11" s="389"/>
      <c r="H11" s="179" t="s">
        <v>10</v>
      </c>
    </row>
    <row r="12" spans="1:11" s="173" customFormat="1" ht="14.45" customHeight="1" x14ac:dyDescent="0.2">
      <c r="C12" s="177" t="s">
        <v>11</v>
      </c>
      <c r="D12" s="387"/>
      <c r="E12" s="388"/>
      <c r="F12" s="388"/>
      <c r="G12" s="389"/>
      <c r="H12" s="179" t="s">
        <v>12</v>
      </c>
    </row>
    <row r="13" spans="1:11" s="173" customFormat="1" ht="14.45" customHeight="1" x14ac:dyDescent="0.2">
      <c r="C13" s="177" t="s">
        <v>13</v>
      </c>
      <c r="D13" s="393"/>
      <c r="E13" s="393"/>
      <c r="F13" s="393"/>
      <c r="G13" s="393"/>
      <c r="H13" s="179"/>
    </row>
    <row r="14" spans="1:11" s="173" customFormat="1" ht="14.45" customHeight="1" x14ac:dyDescent="0.2">
      <c r="C14" s="242"/>
      <c r="D14" s="242"/>
      <c r="H14" s="179"/>
    </row>
    <row r="15" spans="1:11" s="173" customFormat="1" ht="14.45" customHeight="1" x14ac:dyDescent="0.2">
      <c r="C15" s="177" t="s">
        <v>14</v>
      </c>
      <c r="D15" s="384"/>
      <c r="E15" s="385"/>
      <c r="F15" s="385"/>
      <c r="G15" s="386"/>
      <c r="H15" s="179"/>
    </row>
    <row r="16" spans="1:11" s="173" customFormat="1" ht="14.45" customHeight="1" x14ac:dyDescent="0.2">
      <c r="C16" s="177" t="s">
        <v>15</v>
      </c>
      <c r="D16" s="384"/>
      <c r="E16" s="385"/>
      <c r="F16" s="385"/>
      <c r="G16" s="386"/>
      <c r="H16" s="179" t="s">
        <v>16</v>
      </c>
    </row>
    <row r="17" spans="1:11" s="173" customFormat="1" ht="14.45" customHeight="1" x14ac:dyDescent="0.2">
      <c r="C17" s="177" t="s">
        <v>17</v>
      </c>
      <c r="D17" s="384"/>
      <c r="E17" s="385"/>
      <c r="F17" s="385"/>
      <c r="G17" s="386"/>
      <c r="H17" s="179"/>
    </row>
    <row r="18" spans="1:11" s="173" customFormat="1" ht="14.45" customHeight="1" x14ac:dyDescent="0.2"/>
    <row r="19" spans="1:11" ht="80.099999999999994" customHeight="1" x14ac:dyDescent="0.2">
      <c r="C19" s="266" t="s">
        <v>18</v>
      </c>
      <c r="D19" s="383"/>
      <c r="E19" s="383"/>
      <c r="F19" s="383"/>
      <c r="G19" s="383"/>
    </row>
    <row r="20" spans="1:11" s="173" customFormat="1" ht="14.45" customHeight="1" x14ac:dyDescent="0.2">
      <c r="A20" s="174"/>
      <c r="B20" s="174"/>
      <c r="C20" s="174"/>
      <c r="D20" s="174"/>
      <c r="E20" s="174"/>
      <c r="F20" s="174"/>
      <c r="G20" s="174"/>
      <c r="H20" s="174"/>
      <c r="I20" s="174"/>
      <c r="J20" s="174"/>
      <c r="K20" s="174"/>
    </row>
    <row r="21" spans="1:11" s="173" customFormat="1" ht="14.45" customHeight="1" x14ac:dyDescent="0.2">
      <c r="A21" s="174"/>
      <c r="B21" s="174"/>
      <c r="C21" s="174"/>
      <c r="D21" s="174"/>
      <c r="E21" s="174"/>
      <c r="F21" s="174"/>
      <c r="G21" s="174"/>
      <c r="H21" s="174"/>
      <c r="I21" s="174"/>
      <c r="J21" s="174"/>
      <c r="K21" s="174"/>
    </row>
    <row r="22" spans="1:11" s="173" customFormat="1" ht="14.45" customHeight="1" x14ac:dyDescent="0.2">
      <c r="A22" s="174"/>
      <c r="B22" s="174"/>
      <c r="C22" s="174"/>
      <c r="D22" s="174"/>
      <c r="E22" s="174"/>
      <c r="F22" s="174"/>
      <c r="G22" s="174"/>
      <c r="H22" s="174"/>
      <c r="I22" s="174"/>
      <c r="J22" s="174"/>
      <c r="K22" s="174"/>
    </row>
    <row r="23" spans="1:11" s="173" customFormat="1" ht="14.45" customHeight="1" x14ac:dyDescent="0.2">
      <c r="A23" s="174"/>
      <c r="B23" s="174"/>
      <c r="C23" s="174"/>
      <c r="D23" s="174"/>
      <c r="E23" s="174"/>
      <c r="F23" s="174"/>
      <c r="G23" s="174"/>
      <c r="H23" s="174"/>
      <c r="I23" s="174"/>
      <c r="J23" s="174"/>
      <c r="K23" s="174"/>
    </row>
    <row r="24" spans="1:11" ht="13.15" customHeight="1" x14ac:dyDescent="0.2"/>
    <row r="25" spans="1:11"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3">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1">
    <dataValidation type="date" allowBlank="1" showInputMessage="1" showErrorMessage="1" sqref="D11:G12" xr:uid="{AF23CC8F-4A47-4CBA-902D-CFA49F8FDB83}">
      <formula1>43831</formula1>
      <formula2>47848</formula2>
    </dataValidation>
  </dataValidations>
  <hyperlinks>
    <hyperlink ref="J2" location="Header!A1" display="NEXT" xr:uid="{BE51A764-6A6B-454F-A49E-1DA27A707BFA}"/>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J38"/>
  <sheetViews>
    <sheetView topLeftCell="A31" zoomScale="50" zoomScaleNormal="50" workbookViewId="0">
      <selection activeCell="D36" sqref="D36"/>
    </sheetView>
  </sheetViews>
  <sheetFormatPr defaultColWidth="8.85546875" defaultRowHeight="12.75" x14ac:dyDescent="0.2"/>
  <cols>
    <col min="1" max="1" width="2.7109375" style="173" customWidth="1"/>
    <col min="2" max="2" width="12.5703125" style="173" customWidth="1"/>
    <col min="3" max="3" width="104.140625" style="173" customWidth="1"/>
    <col min="4" max="4" width="31" style="236" customWidth="1"/>
    <col min="5" max="5" width="20.140625" style="173" customWidth="1"/>
    <col min="6" max="6" width="62.42578125" style="236" customWidth="1"/>
    <col min="7" max="7" width="17.85546875" style="173" customWidth="1"/>
    <col min="8" max="8" width="14.5703125" style="173" bestFit="1" customWidth="1"/>
    <col min="9" max="9" width="19.42578125" style="173" bestFit="1" customWidth="1"/>
    <col min="10" max="10" width="7.85546875" style="173" customWidth="1"/>
    <col min="11" max="16384" width="8.85546875" style="173"/>
  </cols>
  <sheetData>
    <row r="1" spans="2:10" ht="13.5" thickBot="1" x14ac:dyDescent="0.25"/>
    <row r="2" spans="2:10" ht="47.45" customHeight="1" thickBot="1" x14ac:dyDescent="0.25">
      <c r="B2" s="394" t="s">
        <v>19</v>
      </c>
      <c r="C2" s="395"/>
      <c r="D2" s="395"/>
      <c r="E2" s="395"/>
      <c r="F2" s="395"/>
      <c r="G2" s="395"/>
      <c r="H2" s="395"/>
      <c r="I2" s="396"/>
      <c r="J2" s="244" t="s">
        <v>20</v>
      </c>
    </row>
    <row r="3" spans="2:10" ht="13.5" thickBot="1" x14ac:dyDescent="0.25"/>
    <row r="4" spans="2:10" ht="36" customHeight="1" x14ac:dyDescent="0.2">
      <c r="B4" s="397" t="s">
        <v>21</v>
      </c>
      <c r="C4" s="398"/>
      <c r="D4" s="398"/>
      <c r="E4" s="398"/>
      <c r="F4" s="398"/>
      <c r="G4" s="398"/>
      <c r="H4" s="398"/>
      <c r="I4" s="399"/>
    </row>
    <row r="5" spans="2:10" ht="25.5" customHeight="1" thickBot="1" x14ac:dyDescent="0.25">
      <c r="B5" s="290" t="s">
        <v>22</v>
      </c>
      <c r="C5" s="291" t="s">
        <v>23</v>
      </c>
      <c r="D5" s="292" t="s">
        <v>24</v>
      </c>
      <c r="E5" s="291" t="s">
        <v>25</v>
      </c>
      <c r="F5" s="292" t="s">
        <v>26</v>
      </c>
      <c r="G5" s="291" t="s">
        <v>27</v>
      </c>
      <c r="H5" s="291" t="s">
        <v>28</v>
      </c>
      <c r="I5" s="293" t="s">
        <v>29</v>
      </c>
    </row>
    <row r="6" spans="2:10" ht="76.5" customHeight="1" x14ac:dyDescent="0.2">
      <c r="B6" s="187">
        <v>1</v>
      </c>
      <c r="C6" s="150" t="s">
        <v>30</v>
      </c>
      <c r="D6" s="150" t="s">
        <v>31</v>
      </c>
      <c r="E6" s="150"/>
      <c r="F6" s="150"/>
      <c r="G6" s="248" t="s">
        <v>32</v>
      </c>
      <c r="H6" s="294" t="s">
        <v>33</v>
      </c>
      <c r="I6" s="188"/>
    </row>
    <row r="7" spans="2:10" ht="76.5" customHeight="1" x14ac:dyDescent="0.2">
      <c r="B7" s="152">
        <f>B6+1</f>
        <v>2</v>
      </c>
      <c r="C7" s="151" t="s">
        <v>34</v>
      </c>
      <c r="D7" s="151" t="s">
        <v>35</v>
      </c>
      <c r="E7" s="151" t="s">
        <v>36</v>
      </c>
      <c r="F7" s="151" t="s">
        <v>37</v>
      </c>
      <c r="G7" s="243" t="s">
        <v>32</v>
      </c>
      <c r="H7" s="289" t="s">
        <v>38</v>
      </c>
      <c r="I7" s="153"/>
    </row>
    <row r="8" spans="2:10" ht="76.5" customHeight="1" x14ac:dyDescent="0.2">
      <c r="B8" s="152">
        <f t="shared" ref="B8:B10" si="0">B7+1</f>
        <v>3</v>
      </c>
      <c r="C8" s="151" t="s">
        <v>39</v>
      </c>
      <c r="D8" s="151" t="s">
        <v>35</v>
      </c>
      <c r="E8" s="151" t="s">
        <v>40</v>
      </c>
      <c r="F8" s="151"/>
      <c r="G8" s="243" t="s">
        <v>32</v>
      </c>
      <c r="H8" s="289" t="s">
        <v>41</v>
      </c>
      <c r="I8" s="153"/>
    </row>
    <row r="9" spans="2:10" ht="76.5" customHeight="1" x14ac:dyDescent="0.2">
      <c r="B9" s="152">
        <f t="shared" si="0"/>
        <v>4</v>
      </c>
      <c r="C9" s="151" t="s">
        <v>42</v>
      </c>
      <c r="D9" s="151" t="s">
        <v>35</v>
      </c>
      <c r="E9" s="151" t="s">
        <v>43</v>
      </c>
      <c r="F9" s="151"/>
      <c r="G9" s="243" t="s">
        <v>32</v>
      </c>
      <c r="H9" s="289" t="s">
        <v>44</v>
      </c>
      <c r="I9" s="153"/>
    </row>
    <row r="10" spans="2:10" ht="76.5" customHeight="1" x14ac:dyDescent="0.2">
      <c r="B10" s="152">
        <f t="shared" si="0"/>
        <v>5</v>
      </c>
      <c r="C10" s="151" t="s">
        <v>45</v>
      </c>
      <c r="D10" s="151" t="s">
        <v>35</v>
      </c>
      <c r="E10" s="151" t="s">
        <v>46</v>
      </c>
      <c r="F10" s="151" t="s">
        <v>47</v>
      </c>
      <c r="G10" s="243" t="s">
        <v>32</v>
      </c>
      <c r="H10" s="289" t="s">
        <v>48</v>
      </c>
      <c r="I10" s="153"/>
    </row>
    <row r="11" spans="2:10" ht="76.5" customHeight="1" x14ac:dyDescent="0.2">
      <c r="B11" s="152">
        <f t="shared" ref="B11:B12" si="1">B10+1</f>
        <v>6</v>
      </c>
      <c r="C11" s="151" t="s">
        <v>49</v>
      </c>
      <c r="D11" s="151" t="s">
        <v>35</v>
      </c>
      <c r="E11" s="151" t="s">
        <v>50</v>
      </c>
      <c r="F11" s="151"/>
      <c r="G11" s="243" t="s">
        <v>32</v>
      </c>
      <c r="H11" s="288" t="s">
        <v>51</v>
      </c>
      <c r="I11" s="153"/>
    </row>
    <row r="12" spans="2:10" ht="76.5" customHeight="1" x14ac:dyDescent="0.2">
      <c r="B12" s="152">
        <f t="shared" si="1"/>
        <v>7</v>
      </c>
      <c r="C12" s="151" t="s">
        <v>52</v>
      </c>
      <c r="D12" s="151" t="s">
        <v>53</v>
      </c>
      <c r="E12" s="151" t="s">
        <v>50</v>
      </c>
      <c r="F12" s="151"/>
      <c r="G12" s="243" t="s">
        <v>32</v>
      </c>
      <c r="H12" s="289" t="s">
        <v>54</v>
      </c>
      <c r="I12" s="153"/>
    </row>
    <row r="13" spans="2:10" ht="76.5" customHeight="1" x14ac:dyDescent="0.2">
      <c r="B13" s="152">
        <f t="shared" ref="B13:B16" si="2">B12+1</f>
        <v>8</v>
      </c>
      <c r="C13" s="151" t="s">
        <v>55</v>
      </c>
      <c r="D13" s="151" t="s">
        <v>56</v>
      </c>
      <c r="E13" s="151" t="s">
        <v>57</v>
      </c>
      <c r="F13" s="151" t="s">
        <v>58</v>
      </c>
      <c r="G13" s="243" t="s">
        <v>32</v>
      </c>
      <c r="H13" s="289" t="s">
        <v>59</v>
      </c>
      <c r="I13" s="247"/>
    </row>
    <row r="14" spans="2:10" ht="76.5" customHeight="1" x14ac:dyDescent="0.2">
      <c r="B14" s="152">
        <f t="shared" si="2"/>
        <v>9</v>
      </c>
      <c r="C14" s="151" t="s">
        <v>60</v>
      </c>
      <c r="D14" s="151" t="s">
        <v>53</v>
      </c>
      <c r="E14" s="151" t="s">
        <v>50</v>
      </c>
      <c r="F14" s="151"/>
      <c r="G14" s="243" t="s">
        <v>32</v>
      </c>
      <c r="H14" s="289" t="s">
        <v>61</v>
      </c>
      <c r="I14" s="153"/>
    </row>
    <row r="15" spans="2:10" ht="76.5" customHeight="1" x14ac:dyDescent="0.2">
      <c r="B15" s="152">
        <f t="shared" si="2"/>
        <v>10</v>
      </c>
      <c r="C15" s="151" t="s">
        <v>62</v>
      </c>
      <c r="D15" s="151" t="s">
        <v>35</v>
      </c>
      <c r="E15" s="151" t="s">
        <v>63</v>
      </c>
      <c r="F15" s="151"/>
      <c r="G15" s="243" t="s">
        <v>32</v>
      </c>
      <c r="H15" s="288" t="s">
        <v>64</v>
      </c>
      <c r="I15" s="153"/>
    </row>
    <row r="16" spans="2:10" ht="76.5" customHeight="1" x14ac:dyDescent="0.2">
      <c r="B16" s="152">
        <f t="shared" si="2"/>
        <v>11</v>
      </c>
      <c r="C16" s="151" t="s">
        <v>65</v>
      </c>
      <c r="D16" s="151" t="s">
        <v>35</v>
      </c>
      <c r="E16" s="151" t="s">
        <v>63</v>
      </c>
      <c r="F16" s="151" t="s">
        <v>66</v>
      </c>
      <c r="G16" s="243" t="s">
        <v>32</v>
      </c>
      <c r="H16" s="289" t="s">
        <v>67</v>
      </c>
      <c r="I16" s="153"/>
    </row>
    <row r="17" spans="2:9" ht="13.5" thickBot="1" x14ac:dyDescent="0.25">
      <c r="B17" s="237"/>
      <c r="C17" s="238"/>
      <c r="D17" s="238"/>
      <c r="E17" s="238"/>
      <c r="F17" s="238"/>
      <c r="G17" s="237"/>
    </row>
    <row r="18" spans="2:9" ht="36" customHeight="1" thickBot="1" x14ac:dyDescent="0.25">
      <c r="B18" s="400" t="s">
        <v>68</v>
      </c>
      <c r="C18" s="401"/>
      <c r="D18" s="401"/>
      <c r="E18" s="401"/>
      <c r="F18" s="401"/>
      <c r="G18" s="401"/>
      <c r="H18" s="402"/>
      <c r="I18" s="239"/>
    </row>
    <row r="19" spans="2:9" ht="25.5" customHeight="1" thickBot="1" x14ac:dyDescent="0.25">
      <c r="B19" s="192" t="s">
        <v>22</v>
      </c>
      <c r="C19" s="193" t="s">
        <v>23</v>
      </c>
      <c r="D19" s="194" t="s">
        <v>24</v>
      </c>
      <c r="E19" s="193" t="s">
        <v>25</v>
      </c>
      <c r="F19" s="195" t="s">
        <v>26</v>
      </c>
      <c r="G19" s="193" t="s">
        <v>27</v>
      </c>
      <c r="H19" s="196" t="s">
        <v>29</v>
      </c>
    </row>
    <row r="20" spans="2:9" ht="36.6" customHeight="1" x14ac:dyDescent="0.2">
      <c r="B20" s="187">
        <v>1</v>
      </c>
      <c r="C20" s="150" t="s">
        <v>69</v>
      </c>
      <c r="D20" s="150"/>
      <c r="E20" s="150" t="s">
        <v>70</v>
      </c>
      <c r="F20" s="150"/>
      <c r="G20" s="248" t="s">
        <v>32</v>
      </c>
      <c r="H20" s="188"/>
    </row>
    <row r="21" spans="2:9" ht="72" customHeight="1" x14ac:dyDescent="0.2">
      <c r="B21" s="152">
        <f t="shared" ref="B21:B37" si="3">+B20+1</f>
        <v>2</v>
      </c>
      <c r="C21" s="151" t="s">
        <v>71</v>
      </c>
      <c r="D21" s="151"/>
      <c r="E21" s="151" t="s">
        <v>72</v>
      </c>
      <c r="F21" s="151"/>
      <c r="G21" s="243" t="s">
        <v>32</v>
      </c>
      <c r="H21" s="153"/>
    </row>
    <row r="22" spans="2:9" ht="72" customHeight="1" x14ac:dyDescent="0.2">
      <c r="B22" s="152">
        <f t="shared" si="3"/>
        <v>3</v>
      </c>
      <c r="C22" s="151" t="s">
        <v>73</v>
      </c>
      <c r="D22" s="151"/>
      <c r="E22" s="151" t="s">
        <v>40</v>
      </c>
      <c r="F22" s="151" t="s">
        <v>74</v>
      </c>
      <c r="G22" s="243" t="s">
        <v>32</v>
      </c>
      <c r="H22" s="153"/>
    </row>
    <row r="23" spans="2:9" ht="72" customHeight="1" x14ac:dyDescent="0.2">
      <c r="B23" s="152">
        <f t="shared" si="3"/>
        <v>4</v>
      </c>
      <c r="C23" s="151" t="s">
        <v>75</v>
      </c>
      <c r="D23" s="151"/>
      <c r="E23" s="151" t="s">
        <v>50</v>
      </c>
      <c r="F23" s="151" t="s">
        <v>76</v>
      </c>
      <c r="G23" s="243" t="s">
        <v>32</v>
      </c>
      <c r="H23" s="153"/>
    </row>
    <row r="24" spans="2:9" ht="72" customHeight="1" x14ac:dyDescent="0.2">
      <c r="B24" s="152">
        <f t="shared" si="3"/>
        <v>5</v>
      </c>
      <c r="C24" s="151" t="s">
        <v>77</v>
      </c>
      <c r="D24" s="151"/>
      <c r="E24" s="151" t="s">
        <v>50</v>
      </c>
      <c r="F24" s="151"/>
      <c r="G24" s="243" t="s">
        <v>32</v>
      </c>
      <c r="H24" s="153"/>
    </row>
    <row r="25" spans="2:9" ht="72" customHeight="1" x14ac:dyDescent="0.2">
      <c r="B25" s="152">
        <f t="shared" si="3"/>
        <v>6</v>
      </c>
      <c r="C25" s="151" t="s">
        <v>78</v>
      </c>
      <c r="D25" s="151"/>
      <c r="E25" s="151"/>
      <c r="F25" s="151"/>
      <c r="G25" s="243" t="s">
        <v>32</v>
      </c>
      <c r="H25" s="153"/>
    </row>
    <row r="26" spans="2:9" ht="72" customHeight="1" x14ac:dyDescent="0.2">
      <c r="B26" s="152">
        <f t="shared" si="3"/>
        <v>7</v>
      </c>
      <c r="C26" s="151" t="s">
        <v>79</v>
      </c>
      <c r="D26" s="151"/>
      <c r="E26" s="151" t="s">
        <v>40</v>
      </c>
      <c r="F26" s="151"/>
      <c r="G26" s="243" t="s">
        <v>32</v>
      </c>
      <c r="H26" s="153"/>
    </row>
    <row r="27" spans="2:9" ht="72" customHeight="1" x14ac:dyDescent="0.2">
      <c r="B27" s="152">
        <f t="shared" si="3"/>
        <v>8</v>
      </c>
      <c r="C27" s="151" t="s">
        <v>80</v>
      </c>
      <c r="D27" s="151"/>
      <c r="E27" s="151" t="s">
        <v>81</v>
      </c>
      <c r="F27" s="151"/>
      <c r="G27" s="243" t="s">
        <v>32</v>
      </c>
      <c r="H27" s="153"/>
    </row>
    <row r="28" spans="2:9" ht="72" customHeight="1" x14ac:dyDescent="0.2">
      <c r="B28" s="152">
        <f t="shared" si="3"/>
        <v>9</v>
      </c>
      <c r="C28" s="151" t="s">
        <v>82</v>
      </c>
      <c r="D28" s="151"/>
      <c r="E28" s="151" t="s">
        <v>83</v>
      </c>
      <c r="F28" s="151" t="s">
        <v>380</v>
      </c>
      <c r="G28" s="243" t="s">
        <v>32</v>
      </c>
      <c r="H28" s="153"/>
    </row>
    <row r="29" spans="2:9" ht="72" customHeight="1" x14ac:dyDescent="0.2">
      <c r="B29" s="152">
        <f t="shared" si="3"/>
        <v>10</v>
      </c>
      <c r="C29" s="151" t="s">
        <v>84</v>
      </c>
      <c r="D29" s="151"/>
      <c r="E29" s="151"/>
      <c r="F29" s="151"/>
      <c r="G29" s="243" t="s">
        <v>32</v>
      </c>
      <c r="H29" s="153"/>
    </row>
    <row r="30" spans="2:9" ht="72" customHeight="1" x14ac:dyDescent="0.2">
      <c r="B30" s="152">
        <f t="shared" si="3"/>
        <v>11</v>
      </c>
      <c r="C30" s="275" t="s">
        <v>85</v>
      </c>
      <c r="D30" s="151" t="s">
        <v>86</v>
      </c>
      <c r="E30" s="275" t="s">
        <v>87</v>
      </c>
      <c r="F30" s="276"/>
      <c r="G30" s="243" t="s">
        <v>32</v>
      </c>
      <c r="H30" s="153"/>
    </row>
    <row r="31" spans="2:9" ht="72" customHeight="1" x14ac:dyDescent="0.2">
      <c r="B31" s="152">
        <f t="shared" si="3"/>
        <v>12</v>
      </c>
      <c r="C31" s="151" t="s">
        <v>88</v>
      </c>
      <c r="D31" s="151" t="s">
        <v>86</v>
      </c>
      <c r="E31" s="151" t="s">
        <v>89</v>
      </c>
      <c r="F31" s="151"/>
      <c r="G31" s="243" t="s">
        <v>32</v>
      </c>
      <c r="H31" s="153"/>
    </row>
    <row r="32" spans="2:9" ht="72" customHeight="1" x14ac:dyDescent="0.2">
      <c r="B32" s="152">
        <f t="shared" si="3"/>
        <v>13</v>
      </c>
      <c r="C32" s="151" t="s">
        <v>90</v>
      </c>
      <c r="D32" s="151" t="s">
        <v>86</v>
      </c>
      <c r="E32" s="151" t="s">
        <v>91</v>
      </c>
      <c r="F32" s="151"/>
      <c r="G32" s="243" t="s">
        <v>32</v>
      </c>
      <c r="H32" s="153"/>
    </row>
    <row r="33" spans="2:8" ht="72" customHeight="1" x14ac:dyDescent="0.2">
      <c r="B33" s="152">
        <f t="shared" si="3"/>
        <v>14</v>
      </c>
      <c r="C33" s="151" t="s">
        <v>92</v>
      </c>
      <c r="D33" s="151" t="s">
        <v>86</v>
      </c>
      <c r="E33" s="151" t="s">
        <v>93</v>
      </c>
      <c r="F33" s="151" t="s">
        <v>94</v>
      </c>
      <c r="G33" s="243" t="s">
        <v>32</v>
      </c>
      <c r="H33" s="153"/>
    </row>
    <row r="34" spans="2:8" ht="72" customHeight="1" x14ac:dyDescent="0.2">
      <c r="B34" s="152">
        <f t="shared" si="3"/>
        <v>15</v>
      </c>
      <c r="C34" s="151" t="s">
        <v>95</v>
      </c>
      <c r="D34" s="151"/>
      <c r="E34" s="151" t="s">
        <v>96</v>
      </c>
      <c r="F34" s="151"/>
      <c r="G34" s="243" t="s">
        <v>32</v>
      </c>
      <c r="H34" s="153"/>
    </row>
    <row r="35" spans="2:8" ht="72" customHeight="1" x14ac:dyDescent="0.2">
      <c r="B35" s="152">
        <f t="shared" si="3"/>
        <v>16</v>
      </c>
      <c r="C35" s="151" t="s">
        <v>97</v>
      </c>
      <c r="D35" s="151"/>
      <c r="E35" s="151" t="s">
        <v>98</v>
      </c>
      <c r="F35" s="151"/>
      <c r="G35" s="243" t="s">
        <v>32</v>
      </c>
      <c r="H35" s="153"/>
    </row>
    <row r="36" spans="2:8" ht="72" customHeight="1" x14ac:dyDescent="0.2">
      <c r="B36" s="152">
        <f t="shared" si="3"/>
        <v>17</v>
      </c>
      <c r="C36" s="151" t="s">
        <v>99</v>
      </c>
      <c r="D36" s="151"/>
      <c r="E36" s="151" t="s">
        <v>83</v>
      </c>
      <c r="F36" s="151" t="s">
        <v>100</v>
      </c>
      <c r="G36" s="243" t="s">
        <v>32</v>
      </c>
      <c r="H36" s="153"/>
    </row>
    <row r="37" spans="2:8" ht="72" customHeight="1" thickBot="1" x14ac:dyDescent="0.25">
      <c r="B37" s="154">
        <f t="shared" si="3"/>
        <v>18</v>
      </c>
      <c r="C37" s="155" t="s">
        <v>101</v>
      </c>
      <c r="D37" s="155" t="s">
        <v>86</v>
      </c>
      <c r="E37" s="155" t="s">
        <v>102</v>
      </c>
      <c r="F37" s="155" t="s">
        <v>103</v>
      </c>
      <c r="G37" s="246" t="s">
        <v>32</v>
      </c>
      <c r="H37" s="156"/>
    </row>
    <row r="38" spans="2:8" ht="72" customHeight="1" x14ac:dyDescent="0.2">
      <c r="D38" s="173"/>
      <c r="F38" s="173"/>
    </row>
  </sheetData>
  <mergeCells count="3">
    <mergeCell ref="B2:I2"/>
    <mergeCell ref="B4:I4"/>
    <mergeCell ref="B18:H18"/>
  </mergeCells>
  <conditionalFormatting sqref="G6:G16 G20:G37">
    <cfRule type="cellIs" dxfId="26" priority="2" operator="equal">
      <formula>"Partial"</formula>
    </cfRule>
    <cfRule type="cellIs" dxfId="25" priority="5" operator="equal">
      <formula>"No"</formula>
    </cfRule>
    <cfRule type="cellIs" dxfId="24" priority="6" operator="equal">
      <formula>"Yes"</formula>
    </cfRule>
  </conditionalFormatting>
  <hyperlinks>
    <hyperlink ref="J2" location="Header!A1" display="BACk" xr:uid="{BE5E472A-16F8-44E0-8B11-5130177D9808}"/>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drawing r:id="rId2"/>
  <tableParts count="2">
    <tablePart r:id="rId3"/>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15" zoomScaleNormal="100" workbookViewId="0">
      <selection activeCell="F23" sqref="F23"/>
    </sheetView>
  </sheetViews>
  <sheetFormatPr defaultColWidth="11.42578125" defaultRowHeight="12.75" x14ac:dyDescent="0.2"/>
  <cols>
    <col min="1" max="1" width="2.7109375" style="174" customWidth="1"/>
    <col min="2" max="8" width="16.140625" style="174" customWidth="1"/>
    <col min="9"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104</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x14ac:dyDescent="0.2"/>
    <row r="14" spans="2:17" s="173" customFormat="1" ht="14.45" customHeight="1" thickBot="1" x14ac:dyDescent="0.25"/>
    <row r="15" spans="2:17" s="173" customFormat="1" ht="25.5" x14ac:dyDescent="0.2">
      <c r="B15" s="305" t="s">
        <v>111</v>
      </c>
      <c r="C15" s="27" t="s">
        <v>112</v>
      </c>
      <c r="D15" s="27" t="s">
        <v>113</v>
      </c>
      <c r="E15" s="27" t="s">
        <v>114</v>
      </c>
      <c r="F15" s="27" t="s">
        <v>115</v>
      </c>
      <c r="G15" s="27" t="s">
        <v>116</v>
      </c>
      <c r="H15" s="28" t="s">
        <v>117</v>
      </c>
    </row>
    <row r="16" spans="2:17" s="173" customFormat="1" x14ac:dyDescent="0.2">
      <c r="B16" s="302"/>
      <c r="C16" s="241"/>
      <c r="D16" s="29"/>
      <c r="E16" s="29"/>
      <c r="F16" s="29"/>
      <c r="G16" s="29"/>
      <c r="H16" s="30"/>
    </row>
    <row r="17" spans="2:14" s="173" customFormat="1" x14ac:dyDescent="0.2">
      <c r="B17" s="303"/>
      <c r="C17" s="31"/>
      <c r="D17" s="31"/>
      <c r="E17" s="31"/>
      <c r="F17" s="31"/>
      <c r="G17" s="31"/>
      <c r="H17" s="32"/>
    </row>
    <row r="18" spans="2:14" s="173" customFormat="1" x14ac:dyDescent="0.2">
      <c r="B18" s="303"/>
      <c r="C18" s="295"/>
      <c r="D18" s="295"/>
      <c r="E18" s="295"/>
      <c r="F18" s="295"/>
      <c r="G18" s="295"/>
      <c r="H18" s="296"/>
    </row>
    <row r="19" spans="2:14" s="173" customFormat="1" x14ac:dyDescent="0.2">
      <c r="B19" s="303"/>
      <c r="C19" s="297"/>
      <c r="D19" s="297"/>
      <c r="E19" s="297"/>
      <c r="F19" s="297"/>
      <c r="G19" s="297"/>
      <c r="H19" s="298"/>
    </row>
    <row r="20" spans="2:14" s="173" customFormat="1" x14ac:dyDescent="0.2">
      <c r="B20" s="303"/>
      <c r="C20" s="297"/>
      <c r="D20" s="297"/>
      <c r="E20" s="297"/>
      <c r="F20" s="297"/>
      <c r="G20" s="297"/>
      <c r="H20" s="298"/>
    </row>
    <row r="21" spans="2:14" s="173" customFormat="1" x14ac:dyDescent="0.2">
      <c r="B21" s="303"/>
      <c r="C21" s="297"/>
      <c r="D21" s="297"/>
      <c r="E21" s="297"/>
      <c r="F21" s="297"/>
      <c r="G21" s="297"/>
      <c r="H21" s="298"/>
    </row>
    <row r="22" spans="2:14" s="173" customFormat="1" x14ac:dyDescent="0.2">
      <c r="B22" s="303"/>
      <c r="C22" s="297"/>
      <c r="D22" s="297"/>
      <c r="E22" s="297"/>
      <c r="F22" s="297"/>
      <c r="G22" s="297"/>
      <c r="H22" s="298"/>
    </row>
    <row r="23" spans="2:14" s="173" customFormat="1" x14ac:dyDescent="0.2">
      <c r="B23" s="303"/>
      <c r="C23" s="297"/>
      <c r="D23" s="297"/>
      <c r="E23" s="297"/>
      <c r="F23" s="297"/>
      <c r="G23" s="297"/>
      <c r="H23" s="298"/>
    </row>
    <row r="24" spans="2:14" s="173" customFormat="1" x14ac:dyDescent="0.2">
      <c r="B24" s="303"/>
      <c r="C24" s="297"/>
      <c r="D24" s="297"/>
      <c r="E24" s="297"/>
      <c r="F24" s="297"/>
      <c r="G24" s="297"/>
      <c r="H24" s="298"/>
    </row>
    <row r="25" spans="2:14" s="173" customFormat="1" ht="13.5" thickBot="1" x14ac:dyDescent="0.25">
      <c r="B25" s="304"/>
      <c r="C25" s="299"/>
      <c r="D25" s="300"/>
      <c r="E25" s="300"/>
      <c r="F25" s="300"/>
      <c r="G25" s="300"/>
      <c r="H25" s="301"/>
    </row>
    <row r="26" spans="2:14" s="173" customFormat="1" x14ac:dyDescent="0.2"/>
    <row r="27" spans="2:14" s="173" customFormat="1" ht="14.45" customHeight="1" x14ac:dyDescent="0.2">
      <c r="B27" s="285" t="s">
        <v>18</v>
      </c>
      <c r="G27" s="174"/>
      <c r="H27" s="174"/>
      <c r="I27" s="174"/>
      <c r="J27" s="174"/>
      <c r="K27" s="174"/>
      <c r="L27" s="174"/>
      <c r="M27" s="174"/>
      <c r="N27" s="174"/>
    </row>
    <row r="28" spans="2:14" s="173" customFormat="1" ht="14.45" customHeight="1" x14ac:dyDescent="0.2">
      <c r="B28" s="403"/>
      <c r="C28" s="403"/>
      <c r="D28" s="403"/>
      <c r="E28" s="403"/>
      <c r="F28" s="174"/>
      <c r="G28" s="174"/>
      <c r="H28" s="174"/>
      <c r="I28" s="174"/>
      <c r="J28" s="174"/>
      <c r="K28" s="174"/>
      <c r="L28" s="174"/>
      <c r="M28" s="174"/>
      <c r="N28" s="174"/>
    </row>
    <row r="29" spans="2:14" s="173" customFormat="1" ht="14.45" customHeight="1" x14ac:dyDescent="0.2">
      <c r="B29" s="403"/>
      <c r="C29" s="403"/>
      <c r="D29" s="403"/>
      <c r="E29" s="403"/>
      <c r="F29" s="174"/>
      <c r="G29" s="174"/>
      <c r="H29" s="174"/>
      <c r="I29" s="174"/>
      <c r="J29" s="174"/>
      <c r="K29" s="174"/>
      <c r="L29" s="174"/>
      <c r="M29" s="174"/>
      <c r="N29" s="174"/>
    </row>
    <row r="30" spans="2:14" ht="13.15" customHeight="1" x14ac:dyDescent="0.2">
      <c r="B30" s="403"/>
      <c r="C30" s="403"/>
      <c r="D30" s="403"/>
      <c r="E30" s="403"/>
    </row>
    <row r="31" spans="2:14"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B28:E3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E2B37CB1-7714-4F14-A63C-30D695234341}">
      <formula1>INDIRECT(D11)</formula1>
    </dataValidation>
  </dataValidations>
  <hyperlinks>
    <hyperlink ref="O2" location="'Data Requirements'!A1" display="BACK" xr:uid="{CB8C21D3-B5C3-49B9-8A94-77D36829DD6E}"/>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51640-5257-48E0-8F24-C2E86A908E62}">
  <sheetPr codeName="Sheet19">
    <tabColor rgb="FF26B8AD"/>
  </sheetPr>
  <dimension ref="B1:Q80"/>
  <sheetViews>
    <sheetView zoomScaleNormal="100" workbookViewId="0">
      <selection activeCell="L11" sqref="L11"/>
    </sheetView>
  </sheetViews>
  <sheetFormatPr defaultColWidth="11.42578125" defaultRowHeight="12.75" x14ac:dyDescent="0.2"/>
  <cols>
    <col min="1" max="1" width="2.7109375" style="174" customWidth="1"/>
    <col min="2" max="8" width="16.140625" style="174" customWidth="1"/>
    <col min="9"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118</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384"/>
      <c r="E7" s="386"/>
      <c r="N7" s="172"/>
    </row>
    <row r="8" spans="2:17" s="173" customFormat="1" ht="14.45" customHeight="1" x14ac:dyDescent="0.2">
      <c r="C8" s="177" t="s">
        <v>4</v>
      </c>
      <c r="D8" s="384"/>
      <c r="E8" s="386"/>
      <c r="F8" s="173" t="s">
        <v>108</v>
      </c>
    </row>
    <row r="9" spans="2:17" s="173" customFormat="1" ht="14.45" customHeight="1" x14ac:dyDescent="0.2">
      <c r="C9" s="177" t="s">
        <v>5</v>
      </c>
      <c r="D9" s="384"/>
      <c r="E9" s="386"/>
    </row>
    <row r="10" spans="2:17" s="173" customFormat="1" ht="14.45" customHeight="1" x14ac:dyDescent="0.2">
      <c r="C10" s="177" t="s">
        <v>109</v>
      </c>
      <c r="D10" s="384"/>
      <c r="E10" s="386"/>
    </row>
    <row r="11" spans="2:17" s="173" customFormat="1" ht="14.45" customHeight="1" x14ac:dyDescent="0.2">
      <c r="C11" s="177" t="s">
        <v>14</v>
      </c>
      <c r="D11" s="384"/>
      <c r="E11" s="386"/>
    </row>
    <row r="12" spans="2:17" s="173" customFormat="1" ht="14.45" customHeight="1" x14ac:dyDescent="0.2">
      <c r="C12" s="177" t="s">
        <v>110</v>
      </c>
      <c r="D12" s="384"/>
      <c r="E12" s="386"/>
    </row>
    <row r="13" spans="2:17" s="173" customFormat="1" ht="14.45" customHeight="1" x14ac:dyDescent="0.2"/>
    <row r="14" spans="2:17" s="173" customFormat="1" ht="14.45" customHeight="1" thickBot="1" x14ac:dyDescent="0.25"/>
    <row r="15" spans="2:17" s="173" customFormat="1" ht="38.25" x14ac:dyDescent="0.2">
      <c r="B15" s="305" t="s">
        <v>111</v>
      </c>
      <c r="C15" s="27" t="s">
        <v>112</v>
      </c>
      <c r="D15" s="27" t="s">
        <v>119</v>
      </c>
      <c r="E15" s="27" t="s">
        <v>120</v>
      </c>
      <c r="F15" s="27" t="s">
        <v>121</v>
      </c>
      <c r="G15" s="27" t="s">
        <v>116</v>
      </c>
      <c r="H15" s="377" t="s">
        <v>117</v>
      </c>
      <c r="I15" s="27" t="s">
        <v>113</v>
      </c>
      <c r="J15" s="27" t="s">
        <v>122</v>
      </c>
      <c r="K15" s="27" t="s">
        <v>123</v>
      </c>
      <c r="L15" s="28" t="s">
        <v>114</v>
      </c>
    </row>
    <row r="16" spans="2:17" s="173" customFormat="1" x14ac:dyDescent="0.2">
      <c r="B16" s="302"/>
      <c r="C16" s="241"/>
      <c r="D16" s="29"/>
      <c r="E16" s="29"/>
      <c r="F16" s="29"/>
      <c r="G16" s="29"/>
      <c r="H16" s="378"/>
      <c r="I16" s="29"/>
      <c r="J16" s="29"/>
      <c r="K16" s="29"/>
      <c r="L16" s="30"/>
    </row>
    <row r="17" spans="2:14" s="173" customFormat="1" x14ac:dyDescent="0.2">
      <c r="B17" s="303"/>
      <c r="C17" s="31"/>
      <c r="D17" s="31"/>
      <c r="E17" s="31"/>
      <c r="F17" s="31"/>
      <c r="G17" s="31"/>
      <c r="H17" s="379"/>
      <c r="I17" s="31"/>
      <c r="J17" s="31"/>
      <c r="K17" s="31"/>
      <c r="L17" s="32"/>
    </row>
    <row r="18" spans="2:14" s="173" customFormat="1" x14ac:dyDescent="0.2">
      <c r="B18" s="303"/>
      <c r="C18" s="295"/>
      <c r="D18" s="295"/>
      <c r="E18" s="295"/>
      <c r="F18" s="295"/>
      <c r="G18" s="295"/>
      <c r="H18" s="380"/>
      <c r="I18" s="295"/>
      <c r="J18" s="295"/>
      <c r="K18" s="295"/>
      <c r="L18" s="296"/>
    </row>
    <row r="19" spans="2:14" s="173" customFormat="1" x14ac:dyDescent="0.2">
      <c r="B19" s="303"/>
      <c r="C19" s="297"/>
      <c r="D19" s="297"/>
      <c r="E19" s="297"/>
      <c r="F19" s="297"/>
      <c r="G19" s="297"/>
      <c r="H19" s="381"/>
      <c r="I19" s="297"/>
      <c r="J19" s="297"/>
      <c r="K19" s="297"/>
      <c r="L19" s="298"/>
    </row>
    <row r="20" spans="2:14" s="173" customFormat="1" x14ac:dyDescent="0.2">
      <c r="B20" s="303"/>
      <c r="C20" s="297"/>
      <c r="D20" s="297"/>
      <c r="E20" s="297"/>
      <c r="F20" s="297"/>
      <c r="G20" s="297"/>
      <c r="H20" s="381"/>
      <c r="I20" s="297"/>
      <c r="J20" s="297"/>
      <c r="K20" s="297"/>
      <c r="L20" s="298"/>
    </row>
    <row r="21" spans="2:14" s="173" customFormat="1" x14ac:dyDescent="0.2">
      <c r="B21" s="303"/>
      <c r="C21" s="297"/>
      <c r="D21" s="297"/>
      <c r="E21" s="297"/>
      <c r="F21" s="297"/>
      <c r="G21" s="297"/>
      <c r="H21" s="381"/>
      <c r="I21" s="297"/>
      <c r="J21" s="297"/>
      <c r="K21" s="297"/>
      <c r="L21" s="298"/>
    </row>
    <row r="22" spans="2:14" s="173" customFormat="1" ht="13.5" thickBot="1" x14ac:dyDescent="0.25">
      <c r="B22" s="304"/>
      <c r="C22" s="299"/>
      <c r="D22" s="300"/>
      <c r="E22" s="300"/>
      <c r="F22" s="300"/>
      <c r="G22" s="300"/>
      <c r="H22" s="382"/>
      <c r="I22" s="300"/>
      <c r="J22" s="300"/>
      <c r="K22" s="300"/>
      <c r="L22" s="301"/>
    </row>
    <row r="23" spans="2:14" s="173" customFormat="1" x14ac:dyDescent="0.2"/>
    <row r="24" spans="2:14" s="173" customFormat="1" ht="14.45" customHeight="1" x14ac:dyDescent="0.2">
      <c r="B24" s="285" t="s">
        <v>18</v>
      </c>
      <c r="G24" s="174"/>
      <c r="H24" s="174"/>
      <c r="I24" s="174"/>
      <c r="J24" s="174"/>
      <c r="K24" s="174"/>
      <c r="L24" s="174"/>
      <c r="M24" s="174"/>
      <c r="N24" s="174"/>
    </row>
    <row r="25" spans="2:14" s="173" customFormat="1" ht="14.45" customHeight="1" x14ac:dyDescent="0.2">
      <c r="B25" s="383"/>
      <c r="C25" s="383"/>
      <c r="D25" s="383"/>
      <c r="E25" s="383"/>
      <c r="F25" s="174"/>
      <c r="G25" s="174"/>
      <c r="H25" s="174"/>
      <c r="I25" s="174"/>
      <c r="J25" s="174"/>
      <c r="K25" s="174"/>
      <c r="L25" s="174"/>
      <c r="M25" s="174"/>
      <c r="N25" s="174"/>
    </row>
    <row r="26" spans="2:14" s="173" customFormat="1" ht="14.45" customHeight="1" x14ac:dyDescent="0.2">
      <c r="B26" s="383"/>
      <c r="C26" s="383"/>
      <c r="D26" s="383"/>
      <c r="E26" s="383"/>
      <c r="F26" s="174"/>
      <c r="G26" s="174"/>
      <c r="H26" s="174"/>
      <c r="I26" s="174"/>
      <c r="J26" s="174"/>
      <c r="K26" s="174"/>
      <c r="L26" s="174"/>
      <c r="M26" s="174"/>
      <c r="N26" s="174"/>
    </row>
    <row r="27" spans="2:14" ht="13.15" customHeight="1" x14ac:dyDescent="0.2">
      <c r="B27" s="383"/>
      <c r="C27" s="383"/>
      <c r="D27" s="383"/>
      <c r="E27" s="383"/>
    </row>
    <row r="28" spans="2:14" ht="13.15" customHeigh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D10:E10"/>
    <mergeCell ref="D11:E11"/>
    <mergeCell ref="D12:E12"/>
    <mergeCell ref="B25:E27"/>
    <mergeCell ref="B2:N2"/>
    <mergeCell ref="B4:N4"/>
    <mergeCell ref="B5:N5"/>
    <mergeCell ref="D7:E7"/>
    <mergeCell ref="D8:E8"/>
    <mergeCell ref="D9:E9"/>
  </mergeCells>
  <dataValidations count="1">
    <dataValidation type="list" allowBlank="1" showInputMessage="1" showErrorMessage="1" sqref="D12:E12" xr:uid="{012C51C3-7308-47E5-A9FE-8EFC8F2A2681}">
      <formula1>INDIRECT(D11)</formula1>
    </dataValidation>
  </dataValidations>
  <hyperlinks>
    <hyperlink ref="O2" location="'Data Requirements'!A1" display="BACK" xr:uid="{AE36451F-D2E9-4813-8B3E-5FE5EED4E5B6}"/>
  </hyperlink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96"/>
  <sheetViews>
    <sheetView zoomScaleNormal="100" workbookViewId="0"/>
  </sheetViews>
  <sheetFormatPr defaultColWidth="11.42578125" defaultRowHeight="12.75" x14ac:dyDescent="0.2"/>
  <cols>
    <col min="1" max="1" width="2.7109375" style="174" customWidth="1"/>
    <col min="2" max="14" width="12.8554687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124</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x14ac:dyDescent="0.2"/>
    <row r="14" spans="2:17" s="173" customFormat="1" ht="13.5" thickBot="1" x14ac:dyDescent="0.25"/>
    <row r="15" spans="2:17" s="173" customFormat="1" ht="26.25" thickBot="1" x14ac:dyDescent="0.25">
      <c r="B15" s="284" t="s">
        <v>111</v>
      </c>
      <c r="C15" s="270" t="s">
        <v>125</v>
      </c>
      <c r="D15" s="270" t="s">
        <v>126</v>
      </c>
      <c r="E15" s="270" t="s">
        <v>127</v>
      </c>
      <c r="F15" s="270" t="s">
        <v>128</v>
      </c>
      <c r="G15" s="270" t="s">
        <v>129</v>
      </c>
      <c r="H15" s="270" t="s">
        <v>130</v>
      </c>
      <c r="I15" s="270" t="s">
        <v>131</v>
      </c>
      <c r="J15" s="270" t="s">
        <v>132</v>
      </c>
      <c r="K15" s="270" t="s">
        <v>133</v>
      </c>
      <c r="L15" s="270" t="s">
        <v>113</v>
      </c>
      <c r="M15" s="270" t="s">
        <v>115</v>
      </c>
      <c r="N15" s="271" t="s">
        <v>114</v>
      </c>
    </row>
    <row r="16" spans="2:17" s="173" customFormat="1" x14ac:dyDescent="0.2">
      <c r="B16" s="306"/>
      <c r="C16" s="278"/>
      <c r="D16" s="278"/>
      <c r="E16" s="278"/>
      <c r="F16" s="278"/>
      <c r="G16" s="278"/>
      <c r="H16" s="278"/>
      <c r="I16" s="278"/>
      <c r="J16" s="278"/>
      <c r="K16" s="278"/>
      <c r="L16" s="278"/>
      <c r="M16" s="278"/>
      <c r="N16" s="279"/>
    </row>
    <row r="17" spans="2:14" s="173" customFormat="1" x14ac:dyDescent="0.2">
      <c r="B17" s="310"/>
      <c r="C17" s="277"/>
      <c r="D17" s="277"/>
      <c r="E17" s="277"/>
      <c r="F17" s="277"/>
      <c r="G17" s="277"/>
      <c r="H17" s="277"/>
      <c r="I17" s="277"/>
      <c r="J17" s="277"/>
      <c r="K17" s="277"/>
      <c r="L17" s="277"/>
      <c r="M17" s="277"/>
      <c r="N17" s="283"/>
    </row>
    <row r="18" spans="2:14" s="173" customFormat="1" x14ac:dyDescent="0.2">
      <c r="B18" s="310"/>
      <c r="C18" s="277"/>
      <c r="D18" s="277"/>
      <c r="E18" s="277"/>
      <c r="F18" s="277"/>
      <c r="G18" s="277"/>
      <c r="H18" s="277"/>
      <c r="I18" s="277"/>
      <c r="J18" s="277"/>
      <c r="K18" s="277"/>
      <c r="L18" s="277"/>
      <c r="M18" s="277"/>
      <c r="N18" s="283"/>
    </row>
    <row r="19" spans="2:14" s="173" customFormat="1" x14ac:dyDescent="0.2">
      <c r="B19" s="310"/>
      <c r="C19" s="277"/>
      <c r="D19" s="277"/>
      <c r="E19" s="277"/>
      <c r="F19" s="277"/>
      <c r="G19" s="277"/>
      <c r="H19" s="277"/>
      <c r="I19" s="277"/>
      <c r="J19" s="277"/>
      <c r="K19" s="277"/>
      <c r="L19" s="277"/>
      <c r="M19" s="277"/>
      <c r="N19" s="283"/>
    </row>
    <row r="20" spans="2:14" s="173" customFormat="1" x14ac:dyDescent="0.2">
      <c r="B20" s="310"/>
      <c r="C20" s="277"/>
      <c r="D20" s="277"/>
      <c r="E20" s="277"/>
      <c r="F20" s="277"/>
      <c r="G20" s="277"/>
      <c r="H20" s="277"/>
      <c r="I20" s="277"/>
      <c r="J20" s="277"/>
      <c r="K20" s="277"/>
      <c r="L20" s="277"/>
      <c r="M20" s="277"/>
      <c r="N20" s="283"/>
    </row>
    <row r="21" spans="2:14" s="173" customFormat="1" x14ac:dyDescent="0.2">
      <c r="B21" s="310"/>
      <c r="C21" s="277"/>
      <c r="D21" s="277"/>
      <c r="E21" s="277"/>
      <c r="F21" s="277"/>
      <c r="G21" s="277"/>
      <c r="H21" s="277"/>
      <c r="I21" s="277"/>
      <c r="J21" s="277"/>
      <c r="K21" s="277"/>
      <c r="L21" s="277"/>
      <c r="M21" s="277"/>
      <c r="N21" s="283"/>
    </row>
    <row r="22" spans="2:14" s="173" customFormat="1" x14ac:dyDescent="0.2">
      <c r="B22" s="310"/>
      <c r="C22" s="277"/>
      <c r="D22" s="277"/>
      <c r="E22" s="277"/>
      <c r="F22" s="277"/>
      <c r="G22" s="277"/>
      <c r="H22" s="277"/>
      <c r="I22" s="277"/>
      <c r="J22" s="277"/>
      <c r="K22" s="277"/>
      <c r="L22" s="277"/>
      <c r="M22" s="277"/>
      <c r="N22" s="283"/>
    </row>
    <row r="23" spans="2:14" s="173" customFormat="1" x14ac:dyDescent="0.2">
      <c r="B23" s="310"/>
      <c r="C23" s="277"/>
      <c r="D23" s="277"/>
      <c r="E23" s="277"/>
      <c r="F23" s="277"/>
      <c r="G23" s="277"/>
      <c r="H23" s="277"/>
      <c r="I23" s="277"/>
      <c r="J23" s="277"/>
      <c r="K23" s="277"/>
      <c r="L23" s="277"/>
      <c r="M23" s="277"/>
      <c r="N23" s="283"/>
    </row>
    <row r="24" spans="2:14" s="173" customFormat="1" x14ac:dyDescent="0.2">
      <c r="B24" s="310"/>
      <c r="C24" s="277"/>
      <c r="D24" s="277"/>
      <c r="E24" s="277"/>
      <c r="F24" s="277"/>
      <c r="G24" s="277"/>
      <c r="H24" s="277"/>
      <c r="I24" s="277"/>
      <c r="J24" s="277"/>
      <c r="K24" s="277"/>
      <c r="L24" s="277"/>
      <c r="M24" s="277"/>
      <c r="N24" s="283"/>
    </row>
    <row r="25" spans="2:14" s="173" customFormat="1" x14ac:dyDescent="0.2">
      <c r="B25" s="310"/>
      <c r="C25" s="277"/>
      <c r="D25" s="277"/>
      <c r="E25" s="277"/>
      <c r="F25" s="277"/>
      <c r="G25" s="277"/>
      <c r="H25" s="277"/>
      <c r="I25" s="277"/>
      <c r="J25" s="277"/>
      <c r="K25" s="277"/>
      <c r="L25" s="277"/>
      <c r="M25" s="277"/>
      <c r="N25" s="283"/>
    </row>
    <row r="26" spans="2:14" s="173" customFormat="1" x14ac:dyDescent="0.2">
      <c r="B26" s="310"/>
      <c r="C26" s="277"/>
      <c r="D26" s="277"/>
      <c r="E26" s="277"/>
      <c r="F26" s="277"/>
      <c r="G26" s="277"/>
      <c r="H26" s="277"/>
      <c r="I26" s="277"/>
      <c r="J26" s="277"/>
      <c r="K26" s="277"/>
      <c r="L26" s="277"/>
      <c r="M26" s="277"/>
      <c r="N26" s="283"/>
    </row>
    <row r="27" spans="2:14" s="173" customFormat="1" x14ac:dyDescent="0.2">
      <c r="B27" s="310"/>
      <c r="C27" s="277"/>
      <c r="D27" s="277"/>
      <c r="E27" s="277"/>
      <c r="F27" s="277"/>
      <c r="G27" s="277"/>
      <c r="H27" s="277"/>
      <c r="I27" s="277"/>
      <c r="J27" s="277"/>
      <c r="K27" s="277"/>
      <c r="L27" s="277"/>
      <c r="M27" s="277"/>
      <c r="N27" s="283"/>
    </row>
    <row r="28" spans="2:14" s="173" customFormat="1" x14ac:dyDescent="0.2">
      <c r="B28" s="310"/>
      <c r="C28" s="277"/>
      <c r="D28" s="277"/>
      <c r="E28" s="277"/>
      <c r="F28" s="277"/>
      <c r="G28" s="277"/>
      <c r="H28" s="277"/>
      <c r="I28" s="277"/>
      <c r="J28" s="277"/>
      <c r="K28" s="277"/>
      <c r="L28" s="277"/>
      <c r="M28" s="277"/>
      <c r="N28" s="283"/>
    </row>
    <row r="29" spans="2:14" s="173" customFormat="1" x14ac:dyDescent="0.2">
      <c r="B29" s="310"/>
      <c r="C29" s="277"/>
      <c r="D29" s="277"/>
      <c r="E29" s="277"/>
      <c r="F29" s="277"/>
      <c r="G29" s="277"/>
      <c r="H29" s="277"/>
      <c r="I29" s="277"/>
      <c r="J29" s="277"/>
      <c r="K29" s="277"/>
      <c r="L29" s="277"/>
      <c r="M29" s="277"/>
      <c r="N29" s="283"/>
    </row>
    <row r="30" spans="2:14" s="173" customFormat="1" x14ac:dyDescent="0.2">
      <c r="B30" s="310"/>
      <c r="C30" s="277"/>
      <c r="D30" s="277"/>
      <c r="E30" s="277"/>
      <c r="F30" s="277"/>
      <c r="G30" s="277"/>
      <c r="H30" s="277"/>
      <c r="I30" s="277"/>
      <c r="J30" s="277"/>
      <c r="K30" s="277"/>
      <c r="L30" s="277"/>
      <c r="M30" s="277"/>
      <c r="N30" s="283"/>
    </row>
    <row r="31" spans="2:14" s="173" customFormat="1" x14ac:dyDescent="0.2">
      <c r="B31" s="310"/>
      <c r="C31" s="277"/>
      <c r="D31" s="277"/>
      <c r="E31" s="277"/>
      <c r="F31" s="277"/>
      <c r="G31" s="277"/>
      <c r="H31" s="277"/>
      <c r="I31" s="277"/>
      <c r="J31" s="277"/>
      <c r="K31" s="277"/>
      <c r="L31" s="277"/>
      <c r="M31" s="277"/>
      <c r="N31" s="283"/>
    </row>
    <row r="32" spans="2:14" s="173" customFormat="1" x14ac:dyDescent="0.2">
      <c r="B32" s="303"/>
      <c r="C32" s="31"/>
      <c r="D32" s="31"/>
      <c r="E32" s="31"/>
      <c r="F32" s="31"/>
      <c r="G32" s="31"/>
      <c r="H32" s="31"/>
      <c r="I32" s="31"/>
      <c r="J32" s="31"/>
      <c r="K32" s="31"/>
      <c r="L32" s="31"/>
      <c r="M32" s="31"/>
      <c r="N32" s="32"/>
    </row>
    <row r="33" spans="2:14" s="173" customFormat="1" x14ac:dyDescent="0.2">
      <c r="B33" s="303"/>
      <c r="C33" s="31"/>
      <c r="D33" s="31"/>
      <c r="E33" s="31"/>
      <c r="F33" s="31"/>
      <c r="G33" s="31"/>
      <c r="H33" s="31"/>
      <c r="I33" s="31"/>
      <c r="J33" s="31"/>
      <c r="K33" s="31"/>
      <c r="L33" s="31"/>
      <c r="M33" s="31"/>
      <c r="N33" s="32"/>
    </row>
    <row r="34" spans="2:14" s="173" customFormat="1" x14ac:dyDescent="0.2">
      <c r="B34" s="303"/>
      <c r="C34" s="31"/>
      <c r="D34" s="31"/>
      <c r="E34" s="31"/>
      <c r="F34" s="31"/>
      <c r="G34" s="31"/>
      <c r="H34" s="31"/>
      <c r="I34" s="31"/>
      <c r="J34" s="31"/>
      <c r="K34" s="31"/>
      <c r="L34" s="31"/>
      <c r="M34" s="31"/>
      <c r="N34" s="32"/>
    </row>
    <row r="35" spans="2:14" s="173" customFormat="1" x14ac:dyDescent="0.2">
      <c r="B35" s="303"/>
      <c r="C35" s="31"/>
      <c r="D35" s="31"/>
      <c r="E35" s="31"/>
      <c r="F35" s="31"/>
      <c r="G35" s="31"/>
      <c r="H35" s="31"/>
      <c r="I35" s="31"/>
      <c r="J35" s="31"/>
      <c r="K35" s="31"/>
      <c r="L35" s="31"/>
      <c r="M35" s="31"/>
      <c r="N35" s="32"/>
    </row>
    <row r="36" spans="2:14" s="173" customFormat="1" x14ac:dyDescent="0.2">
      <c r="B36" s="303"/>
      <c r="C36" s="31"/>
      <c r="D36" s="31"/>
      <c r="E36" s="31"/>
      <c r="F36" s="31"/>
      <c r="G36" s="31"/>
      <c r="H36" s="31"/>
      <c r="I36" s="31"/>
      <c r="J36" s="31"/>
      <c r="K36" s="31"/>
      <c r="L36" s="31"/>
      <c r="M36" s="31"/>
      <c r="N36" s="32"/>
    </row>
    <row r="37" spans="2:14" s="173" customFormat="1" ht="13.5" thickBot="1" x14ac:dyDescent="0.25">
      <c r="B37" s="304"/>
      <c r="C37" s="280"/>
      <c r="D37" s="281"/>
      <c r="E37" s="281"/>
      <c r="F37" s="281"/>
      <c r="G37" s="281"/>
      <c r="H37" s="281"/>
      <c r="I37" s="281"/>
      <c r="J37" s="281"/>
      <c r="K37" s="281"/>
      <c r="L37" s="281"/>
      <c r="M37" s="281"/>
      <c r="N37" s="282"/>
    </row>
    <row r="38" spans="2:14" s="173" customFormat="1" ht="14.45" customHeight="1" x14ac:dyDescent="0.2">
      <c r="B38" s="174"/>
      <c r="C38" s="174"/>
      <c r="D38" s="174"/>
      <c r="E38" s="174"/>
      <c r="F38" s="174"/>
      <c r="G38" s="174"/>
      <c r="H38" s="174"/>
      <c r="I38" s="174"/>
      <c r="J38" s="174"/>
      <c r="K38" s="174"/>
      <c r="L38" s="174"/>
      <c r="M38" s="174"/>
      <c r="N38" s="174"/>
    </row>
    <row r="39" spans="2:14" s="173" customFormat="1" ht="14.45" customHeight="1" x14ac:dyDescent="0.2">
      <c r="B39" s="285" t="s">
        <v>18</v>
      </c>
      <c r="F39" s="174"/>
      <c r="G39" s="174"/>
      <c r="H39" s="174"/>
      <c r="I39" s="174"/>
      <c r="J39" s="174"/>
      <c r="K39" s="174"/>
      <c r="L39" s="174"/>
      <c r="M39" s="174"/>
      <c r="N39" s="174"/>
    </row>
    <row r="40" spans="2:14" s="173" customFormat="1" ht="14.45" customHeight="1" x14ac:dyDescent="0.2">
      <c r="B40" s="403"/>
      <c r="C40" s="403"/>
      <c r="D40" s="403"/>
      <c r="E40" s="403"/>
      <c r="F40" s="174"/>
      <c r="G40" s="174"/>
      <c r="H40" s="174"/>
      <c r="I40" s="174"/>
      <c r="J40" s="174"/>
      <c r="K40" s="174"/>
      <c r="L40" s="174"/>
      <c r="M40" s="174"/>
      <c r="N40" s="174"/>
    </row>
    <row r="41" spans="2:14" ht="13.15" customHeight="1" x14ac:dyDescent="0.2">
      <c r="B41" s="403"/>
      <c r="C41" s="403"/>
      <c r="D41" s="403"/>
      <c r="E41" s="403"/>
    </row>
    <row r="42" spans="2:14" ht="13.15" customHeight="1" x14ac:dyDescent="0.2">
      <c r="B42" s="403"/>
      <c r="C42" s="403"/>
      <c r="D42" s="403"/>
      <c r="E42"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0">
    <mergeCell ref="D10:E10"/>
    <mergeCell ref="D11:E11"/>
    <mergeCell ref="D12:E12"/>
    <mergeCell ref="B40:E42"/>
    <mergeCell ref="B2:N2"/>
    <mergeCell ref="B4:N4"/>
    <mergeCell ref="B5:N5"/>
    <mergeCell ref="D7:E7"/>
    <mergeCell ref="D8:E8"/>
    <mergeCell ref="D9:E9"/>
  </mergeCells>
  <dataValidations count="1">
    <dataValidation type="list" allowBlank="1" showInputMessage="1" showErrorMessage="1" sqref="D12:E12" xr:uid="{286857D1-7194-4BA0-B68C-37DBD513175B}">
      <formula1>INDIRECT(D11)</formula1>
    </dataValidation>
  </dataValidations>
  <hyperlinks>
    <hyperlink ref="O2" location="'Data Requirements'!A1" display="BACK" xr:uid="{2A5C3AF7-2DE3-4E17-B771-D4AB999BA236}"/>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heetViews>
  <sheetFormatPr defaultColWidth="11.42578125" defaultRowHeight="12.75" x14ac:dyDescent="0.2"/>
  <cols>
    <col min="1" max="1" width="2.7109375" style="174" customWidth="1"/>
    <col min="2" max="2" width="21.7109375" style="174"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34</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thickBot="1" x14ac:dyDescent="0.25"/>
    <row r="14" spans="2:17" s="173" customFormat="1" ht="13.5" thickBot="1" x14ac:dyDescent="0.25">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
      <c r="B15" s="37" t="s">
        <v>34</v>
      </c>
      <c r="C15" s="38"/>
      <c r="D15" s="33"/>
      <c r="E15" s="33"/>
      <c r="F15" s="33"/>
      <c r="G15" s="33"/>
      <c r="H15" s="33"/>
      <c r="I15" s="33"/>
      <c r="J15" s="33"/>
      <c r="K15" s="33"/>
      <c r="L15" s="33"/>
      <c r="M15" s="33"/>
      <c r="N15" s="39"/>
    </row>
    <row r="16" spans="2:17" s="173" customFormat="1" ht="13.5" thickBot="1" x14ac:dyDescent="0.25">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5" thickBot="1" x14ac:dyDescent="0.25"/>
    <row r="18" spans="2:14" s="173" customFormat="1" ht="14.45" customHeight="1" x14ac:dyDescent="0.2">
      <c r="B18" s="11" t="s">
        <v>136</v>
      </c>
      <c r="C18" s="44"/>
      <c r="D18" s="44" t="s">
        <v>137</v>
      </c>
      <c r="E18" s="44"/>
      <c r="F18" s="44"/>
      <c r="G18" s="44"/>
      <c r="H18" s="44"/>
      <c r="I18" s="44"/>
      <c r="J18" s="44"/>
      <c r="K18" s="44"/>
      <c r="L18" s="44"/>
      <c r="M18" s="16"/>
      <c r="N18" s="17"/>
    </row>
    <row r="19" spans="2:14" s="173" customFormat="1" ht="14.45" customHeight="1" x14ac:dyDescent="0.2">
      <c r="B19" s="18" t="s">
        <v>138</v>
      </c>
      <c r="C19" s="45"/>
      <c r="D19" s="45" t="s">
        <v>139</v>
      </c>
      <c r="E19" s="45"/>
      <c r="F19" s="45"/>
      <c r="G19" s="45"/>
      <c r="H19" s="45"/>
      <c r="I19" s="45"/>
      <c r="J19" s="45"/>
      <c r="K19" s="45"/>
      <c r="L19" s="45"/>
      <c r="M19" s="46"/>
      <c r="N19" s="47"/>
    </row>
    <row r="20" spans="2:14" s="173" customFormat="1" ht="14.45" customHeight="1" thickBot="1" x14ac:dyDescent="0.25">
      <c r="B20" s="48"/>
      <c r="C20" s="45"/>
      <c r="D20" s="45"/>
      <c r="E20" s="45"/>
      <c r="F20" s="45"/>
      <c r="G20" s="45"/>
      <c r="H20" s="45"/>
      <c r="I20" s="45"/>
      <c r="J20" s="45"/>
      <c r="K20" s="45"/>
      <c r="L20" s="45"/>
      <c r="M20" s="46"/>
      <c r="N20" s="47"/>
    </row>
    <row r="21" spans="2:14" ht="13.15" customHeight="1" thickBot="1" x14ac:dyDescent="0.25">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
      <c r="B22" s="12"/>
      <c r="C22" s="54" t="s">
        <v>140</v>
      </c>
      <c r="D22" s="55">
        <v>0.05</v>
      </c>
      <c r="E22" s="56">
        <v>-0.05</v>
      </c>
      <c r="F22" s="56">
        <v>-0.05</v>
      </c>
      <c r="G22" s="56">
        <v>-0.1</v>
      </c>
      <c r="H22" s="56">
        <v>-0.2</v>
      </c>
      <c r="I22" s="56">
        <v>-0.1</v>
      </c>
      <c r="J22" s="56">
        <v>0.1</v>
      </c>
      <c r="K22" s="56">
        <v>0.2</v>
      </c>
      <c r="L22" s="56">
        <v>0.05</v>
      </c>
      <c r="M22" s="57"/>
      <c r="N22" s="53"/>
    </row>
    <row r="23" spans="2:14" ht="13.5" thickBot="1" x14ac:dyDescent="0.25">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5" thickBot="1" x14ac:dyDescent="0.25">
      <c r="B24" s="13"/>
      <c r="C24" s="14"/>
      <c r="D24" s="14"/>
      <c r="E24" s="14"/>
      <c r="F24" s="14"/>
      <c r="G24" s="14"/>
      <c r="H24" s="14"/>
      <c r="I24" s="14"/>
      <c r="J24" s="14"/>
      <c r="K24" s="14"/>
      <c r="L24" s="14"/>
      <c r="M24" s="14"/>
      <c r="N24" s="15"/>
    </row>
    <row r="25" spans="2:14" s="173" customFormat="1" x14ac:dyDescent="0.2"/>
    <row r="26" spans="2:14" x14ac:dyDescent="0.2">
      <c r="B26" s="285" t="s">
        <v>18</v>
      </c>
      <c r="C26" s="173"/>
      <c r="D26" s="173"/>
      <c r="E26" s="173"/>
    </row>
    <row r="27" spans="2:14" x14ac:dyDescent="0.2">
      <c r="B27" s="403"/>
      <c r="C27" s="403"/>
      <c r="D27" s="403"/>
      <c r="E27" s="403"/>
    </row>
    <row r="28" spans="2:14" x14ac:dyDescent="0.2">
      <c r="B28" s="403"/>
      <c r="C28" s="403"/>
      <c r="D28" s="403"/>
      <c r="E28" s="403"/>
    </row>
    <row r="29" spans="2:14" x14ac:dyDescent="0.2">
      <c r="B29" s="403"/>
      <c r="C29" s="403"/>
      <c r="D29" s="403"/>
      <c r="E29"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B27:E29"/>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FCDF23B-0D47-4341-9027-E8115D7839B6}">
      <formula1>INDIRECT(D11)</formula1>
    </dataValidation>
  </dataValidations>
  <hyperlinks>
    <hyperlink ref="O2" location="'Data Requirements'!A1" display="BACK" xr:uid="{5286C9A2-0585-421F-98B2-31F238FA4845}"/>
  </hyperlinks>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30065-47E9-491B-977C-D412F5F99D45}">
  <sheetPr codeName="Sheet18">
    <tabColor rgb="FF26B8AD"/>
  </sheetPr>
  <dimension ref="B1:Q80"/>
  <sheetViews>
    <sheetView workbookViewId="0"/>
  </sheetViews>
  <sheetFormatPr defaultColWidth="11.42578125" defaultRowHeight="12.75" x14ac:dyDescent="0.2"/>
  <cols>
    <col min="1" max="1" width="2.7109375" style="174" customWidth="1"/>
    <col min="2" max="2" width="21.7109375" style="174"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141</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thickBot="1" x14ac:dyDescent="0.25"/>
    <row r="14" spans="2:17" s="173" customFormat="1" ht="13.5" thickBot="1" x14ac:dyDescent="0.25">
      <c r="B14" s="26" t="s">
        <v>134</v>
      </c>
      <c r="C14" s="35">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x14ac:dyDescent="0.2">
      <c r="B15" s="37" t="s">
        <v>34</v>
      </c>
      <c r="C15" s="38"/>
      <c r="D15" s="33"/>
      <c r="E15" s="33"/>
      <c r="F15" s="33"/>
      <c r="G15" s="33"/>
      <c r="H15" s="33"/>
      <c r="I15" s="33"/>
      <c r="J15" s="33"/>
      <c r="K15" s="33"/>
      <c r="L15" s="33"/>
      <c r="M15" s="33"/>
      <c r="N15" s="39"/>
    </row>
    <row r="16" spans="2:17" s="173" customFormat="1" ht="13.5" thickBot="1" x14ac:dyDescent="0.25">
      <c r="B16" s="40" t="s">
        <v>135</v>
      </c>
      <c r="C16" s="41">
        <f t="shared" ref="C16:L16" si="1">D16*(1+C15)</f>
        <v>100</v>
      </c>
      <c r="D16" s="42">
        <f t="shared" si="1"/>
        <v>100</v>
      </c>
      <c r="E16" s="42">
        <f t="shared" si="1"/>
        <v>100</v>
      </c>
      <c r="F16" s="42">
        <f t="shared" si="1"/>
        <v>100</v>
      </c>
      <c r="G16" s="42">
        <f t="shared" si="1"/>
        <v>100</v>
      </c>
      <c r="H16" s="42">
        <f t="shared" si="1"/>
        <v>100</v>
      </c>
      <c r="I16" s="42">
        <f t="shared" si="1"/>
        <v>100</v>
      </c>
      <c r="J16" s="42">
        <f t="shared" si="1"/>
        <v>100</v>
      </c>
      <c r="K16" s="42">
        <f t="shared" si="1"/>
        <v>100</v>
      </c>
      <c r="L16" s="42">
        <f t="shared" si="1"/>
        <v>100</v>
      </c>
      <c r="M16" s="42">
        <f>N16*(1+M15)</f>
        <v>100</v>
      </c>
      <c r="N16" s="43">
        <v>100</v>
      </c>
    </row>
    <row r="17" spans="2:14" s="173" customFormat="1" ht="13.5" thickBot="1" x14ac:dyDescent="0.25"/>
    <row r="18" spans="2:14" s="173" customFormat="1" ht="14.45" customHeight="1" x14ac:dyDescent="0.2">
      <c r="B18" s="11" t="s">
        <v>136</v>
      </c>
      <c r="C18" s="44"/>
      <c r="D18" s="44" t="s">
        <v>137</v>
      </c>
      <c r="E18" s="44"/>
      <c r="F18" s="44"/>
      <c r="G18" s="44"/>
      <c r="H18" s="44"/>
      <c r="I18" s="44"/>
      <c r="J18" s="44"/>
      <c r="K18" s="44"/>
      <c r="L18" s="44"/>
      <c r="M18" s="16"/>
      <c r="N18" s="17"/>
    </row>
    <row r="19" spans="2:14" s="173" customFormat="1" ht="14.45" customHeight="1" x14ac:dyDescent="0.2">
      <c r="B19" s="18" t="s">
        <v>138</v>
      </c>
      <c r="C19" s="45"/>
      <c r="D19" s="45" t="s">
        <v>139</v>
      </c>
      <c r="E19" s="45"/>
      <c r="F19" s="45"/>
      <c r="G19" s="45"/>
      <c r="H19" s="45"/>
      <c r="I19" s="45"/>
      <c r="J19" s="45"/>
      <c r="K19" s="45"/>
      <c r="L19" s="45"/>
      <c r="M19" s="46"/>
      <c r="N19" s="47"/>
    </row>
    <row r="20" spans="2:14" s="173" customFormat="1" ht="14.45" customHeight="1" thickBot="1" x14ac:dyDescent="0.25">
      <c r="B20" s="48"/>
      <c r="C20" s="45"/>
      <c r="D20" s="45"/>
      <c r="E20" s="45"/>
      <c r="F20" s="45"/>
      <c r="G20" s="45"/>
      <c r="H20" s="45"/>
      <c r="I20" s="45"/>
      <c r="J20" s="45"/>
      <c r="K20" s="45"/>
      <c r="L20" s="45"/>
      <c r="M20" s="46"/>
      <c r="N20" s="47"/>
    </row>
    <row r="21" spans="2:14" ht="13.15" customHeight="1" thickBot="1" x14ac:dyDescent="0.25">
      <c r="B21" s="12"/>
      <c r="C21" s="49" t="s">
        <v>134</v>
      </c>
      <c r="D21" s="50">
        <v>2009</v>
      </c>
      <c r="E21" s="51">
        <f t="shared" ref="E21:M21" si="2">D21-1</f>
        <v>2008</v>
      </c>
      <c r="F21" s="51">
        <f t="shared" si="2"/>
        <v>2007</v>
      </c>
      <c r="G21" s="51">
        <f t="shared" si="2"/>
        <v>2006</v>
      </c>
      <c r="H21" s="51">
        <f t="shared" si="2"/>
        <v>2005</v>
      </c>
      <c r="I21" s="51">
        <f t="shared" si="2"/>
        <v>2004</v>
      </c>
      <c r="J21" s="51">
        <f t="shared" si="2"/>
        <v>2003</v>
      </c>
      <c r="K21" s="51">
        <f t="shared" si="2"/>
        <v>2002</v>
      </c>
      <c r="L21" s="51">
        <f t="shared" si="2"/>
        <v>2001</v>
      </c>
      <c r="M21" s="52">
        <f t="shared" si="2"/>
        <v>2000</v>
      </c>
      <c r="N21" s="53"/>
    </row>
    <row r="22" spans="2:14" ht="13.15" customHeight="1" x14ac:dyDescent="0.2">
      <c r="B22" s="12"/>
      <c r="C22" s="54" t="s">
        <v>140</v>
      </c>
      <c r="D22" s="55">
        <v>0.05</v>
      </c>
      <c r="E22" s="56">
        <v>-0.05</v>
      </c>
      <c r="F22" s="56">
        <v>-0.05</v>
      </c>
      <c r="G22" s="56">
        <v>-0.1</v>
      </c>
      <c r="H22" s="56">
        <v>-0.2</v>
      </c>
      <c r="I22" s="56">
        <v>-0.1</v>
      </c>
      <c r="J22" s="56">
        <v>0.1</v>
      </c>
      <c r="K22" s="56">
        <v>0.2</v>
      </c>
      <c r="L22" s="56">
        <v>0.05</v>
      </c>
      <c r="M22" s="57"/>
      <c r="N22" s="53"/>
    </row>
    <row r="23" spans="2:14" ht="13.5" thickBot="1" x14ac:dyDescent="0.25">
      <c r="B23" s="12"/>
      <c r="C23" s="58" t="s">
        <v>135</v>
      </c>
      <c r="D23" s="59">
        <f t="shared" ref="D23:L23" si="3">E23*(1+D22)</f>
        <v>85.108854600000029</v>
      </c>
      <c r="E23" s="60">
        <f t="shared" si="3"/>
        <v>81.056052000000022</v>
      </c>
      <c r="F23" s="60">
        <f t="shared" si="3"/>
        <v>85.322160000000025</v>
      </c>
      <c r="G23" s="60">
        <f t="shared" si="3"/>
        <v>89.812800000000024</v>
      </c>
      <c r="H23" s="60">
        <f t="shared" si="3"/>
        <v>99.79200000000003</v>
      </c>
      <c r="I23" s="60">
        <f t="shared" si="3"/>
        <v>124.74000000000002</v>
      </c>
      <c r="J23" s="60">
        <f t="shared" si="3"/>
        <v>138.60000000000002</v>
      </c>
      <c r="K23" s="60">
        <f t="shared" si="3"/>
        <v>126</v>
      </c>
      <c r="L23" s="60">
        <f t="shared" si="3"/>
        <v>105</v>
      </c>
      <c r="M23" s="61">
        <v>100</v>
      </c>
      <c r="N23" s="53"/>
    </row>
    <row r="24" spans="2:14" ht="13.5" thickBot="1" x14ac:dyDescent="0.25">
      <c r="B24" s="13"/>
      <c r="C24" s="14"/>
      <c r="D24" s="14"/>
      <c r="E24" s="14"/>
      <c r="F24" s="14"/>
      <c r="G24" s="14"/>
      <c r="H24" s="14"/>
      <c r="I24" s="14"/>
      <c r="J24" s="14"/>
      <c r="K24" s="14"/>
      <c r="L24" s="14"/>
      <c r="M24" s="14"/>
      <c r="N24" s="15"/>
    </row>
    <row r="26" spans="2:14" ht="13.5" thickBot="1" x14ac:dyDescent="0.25">
      <c r="B26" s="274" t="s">
        <v>142</v>
      </c>
    </row>
    <row r="27" spans="2:14" s="173" customFormat="1" ht="13.5" thickBot="1" x14ac:dyDescent="0.25">
      <c r="B27" s="26" t="s">
        <v>134</v>
      </c>
      <c r="C27" s="270">
        <f>D10</f>
        <v>1900</v>
      </c>
      <c r="D27" s="270">
        <f>C27-1</f>
        <v>1899</v>
      </c>
      <c r="E27" s="270">
        <f t="shared" ref="E27:N27" si="4">D27-1</f>
        <v>1898</v>
      </c>
      <c r="F27" s="270">
        <f t="shared" si="4"/>
        <v>1897</v>
      </c>
      <c r="G27" s="270">
        <f t="shared" si="4"/>
        <v>1896</v>
      </c>
      <c r="H27" s="270">
        <f t="shared" si="4"/>
        <v>1895</v>
      </c>
      <c r="I27" s="270">
        <f t="shared" si="4"/>
        <v>1894</v>
      </c>
      <c r="J27" s="270">
        <f t="shared" si="4"/>
        <v>1893</v>
      </c>
      <c r="K27" s="270">
        <f t="shared" si="4"/>
        <v>1892</v>
      </c>
      <c r="L27" s="270">
        <f t="shared" si="4"/>
        <v>1891</v>
      </c>
      <c r="M27" s="270">
        <f t="shared" si="4"/>
        <v>1890</v>
      </c>
      <c r="N27" s="271">
        <f t="shared" si="4"/>
        <v>1889</v>
      </c>
    </row>
    <row r="28" spans="2:14" s="173" customFormat="1" ht="25.5" x14ac:dyDescent="0.2">
      <c r="B28" s="272" t="s">
        <v>143</v>
      </c>
      <c r="C28" s="306"/>
      <c r="D28" s="278"/>
      <c r="E28" s="278"/>
      <c r="F28" s="278"/>
      <c r="G28" s="278"/>
      <c r="H28" s="278"/>
      <c r="I28" s="278"/>
      <c r="J28" s="278"/>
      <c r="K28" s="278"/>
      <c r="L28" s="278"/>
      <c r="M28" s="278"/>
      <c r="N28" s="279"/>
    </row>
    <row r="29" spans="2:14" s="173" customFormat="1" ht="25.5" x14ac:dyDescent="0.2">
      <c r="B29" s="272" t="s">
        <v>144</v>
      </c>
      <c r="C29" s="303"/>
      <c r="D29" s="31"/>
      <c r="E29" s="31"/>
      <c r="F29" s="31"/>
      <c r="G29" s="31"/>
      <c r="H29" s="31"/>
      <c r="I29" s="31"/>
      <c r="J29" s="31"/>
      <c r="K29" s="31"/>
      <c r="L29" s="31"/>
      <c r="M29" s="31"/>
      <c r="N29" s="32"/>
    </row>
    <row r="30" spans="2:14" s="173" customFormat="1" ht="25.5" x14ac:dyDescent="0.2">
      <c r="B30" s="272" t="s">
        <v>145</v>
      </c>
      <c r="C30" s="303"/>
      <c r="D30" s="31"/>
      <c r="E30" s="31"/>
      <c r="F30" s="31"/>
      <c r="G30" s="31"/>
      <c r="H30" s="31"/>
      <c r="I30" s="31"/>
      <c r="J30" s="31"/>
      <c r="K30" s="31"/>
      <c r="L30" s="31"/>
      <c r="M30" s="31"/>
      <c r="N30" s="32"/>
    </row>
    <row r="31" spans="2:14" s="173" customFormat="1" ht="26.25" thickBot="1" x14ac:dyDescent="0.25">
      <c r="B31" s="273" t="s">
        <v>146</v>
      </c>
      <c r="C31" s="307"/>
      <c r="D31" s="308"/>
      <c r="E31" s="308"/>
      <c r="F31" s="308"/>
      <c r="G31" s="308"/>
      <c r="H31" s="308"/>
      <c r="I31" s="308"/>
      <c r="J31" s="308"/>
      <c r="K31" s="308"/>
      <c r="L31" s="308"/>
      <c r="M31" s="308"/>
      <c r="N31" s="309"/>
    </row>
    <row r="32" spans="2:14" s="173" customFormat="1" x14ac:dyDescent="0.2"/>
    <row r="33" spans="2:5" x14ac:dyDescent="0.2">
      <c r="B33" s="285" t="s">
        <v>18</v>
      </c>
      <c r="C33" s="173"/>
      <c r="D33" s="173"/>
      <c r="E33" s="173"/>
    </row>
    <row r="34" spans="2:5" x14ac:dyDescent="0.2">
      <c r="B34" s="403"/>
      <c r="C34" s="403"/>
      <c r="D34" s="403"/>
      <c r="E34" s="403"/>
    </row>
    <row r="35" spans="2:5" x14ac:dyDescent="0.2">
      <c r="B35" s="403"/>
      <c r="C35" s="403"/>
      <c r="D35" s="403"/>
      <c r="E35" s="403"/>
    </row>
    <row r="36" spans="2:5" x14ac:dyDescent="0.2">
      <c r="B36" s="403"/>
      <c r="C36" s="403"/>
      <c r="D36" s="403"/>
      <c r="E36" s="403"/>
    </row>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sheetData>
  <mergeCells count="10">
    <mergeCell ref="D10:E10"/>
    <mergeCell ref="D11:E11"/>
    <mergeCell ref="D12:E12"/>
    <mergeCell ref="B34:E36"/>
    <mergeCell ref="B2:N2"/>
    <mergeCell ref="B4:N4"/>
    <mergeCell ref="B5:N5"/>
    <mergeCell ref="D7:E7"/>
    <mergeCell ref="D8:E8"/>
    <mergeCell ref="D9:E9"/>
  </mergeCells>
  <dataValidations count="1">
    <dataValidation type="list" allowBlank="1" showInputMessage="1" showErrorMessage="1" sqref="D12:E12" xr:uid="{5A334B6F-6F73-43C3-9C38-1EC6EE3A1571}">
      <formula1>INDIRECT(D11)</formula1>
    </dataValidation>
  </dataValidations>
  <hyperlinks>
    <hyperlink ref="O2" location="'Data Requirements'!A1" display="BACK" xr:uid="{5ADAB70E-EDA0-4C31-B630-66FF1297DAF4}"/>
  </hyperlink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zoomScaleNormal="100" workbookViewId="0"/>
  </sheetViews>
  <sheetFormatPr defaultColWidth="11.42578125" defaultRowHeight="12.75" x14ac:dyDescent="0.2"/>
  <cols>
    <col min="1" max="1" width="2.7109375" style="174" customWidth="1"/>
    <col min="2" max="2" width="16.140625" style="174" bestFit="1"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147</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thickBot="1" x14ac:dyDescent="0.25"/>
    <row r="14" spans="2:17" s="173" customFormat="1" ht="13.5" thickBot="1" x14ac:dyDescent="0.25">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5" thickBot="1" x14ac:dyDescent="0.25">
      <c r="B15" s="62" t="s">
        <v>148</v>
      </c>
      <c r="C15" s="63"/>
      <c r="D15" s="64"/>
      <c r="E15" s="64"/>
      <c r="F15" s="64"/>
      <c r="G15" s="64"/>
      <c r="H15" s="64"/>
      <c r="I15" s="64"/>
      <c r="J15" s="64"/>
      <c r="K15" s="64"/>
      <c r="L15" s="64"/>
      <c r="M15" s="64"/>
      <c r="N15" s="171"/>
    </row>
    <row r="16" spans="2:17" s="173" customFormat="1" x14ac:dyDescent="0.2"/>
    <row r="17" spans="2:5" x14ac:dyDescent="0.2">
      <c r="B17" s="285" t="s">
        <v>18</v>
      </c>
      <c r="C17" s="173"/>
      <c r="D17" s="173"/>
      <c r="E17" s="173"/>
    </row>
    <row r="18" spans="2:5" x14ac:dyDescent="0.2">
      <c r="B18" s="403"/>
      <c r="C18" s="403"/>
      <c r="D18" s="403"/>
      <c r="E18" s="403"/>
    </row>
    <row r="19" spans="2:5" x14ac:dyDescent="0.2">
      <c r="B19" s="403"/>
      <c r="C19" s="403"/>
      <c r="D19" s="403"/>
      <c r="E19" s="403"/>
    </row>
    <row r="20" spans="2:5" x14ac:dyDescent="0.2">
      <c r="B20" s="403"/>
      <c r="C20" s="403"/>
      <c r="D20" s="403"/>
      <c r="E20"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014ADD46-6B75-4BA2-BAE3-CCB3A2F95123}">
      <formula1>INDIRECT(D11)</formula1>
    </dataValidation>
  </dataValidations>
  <hyperlinks>
    <hyperlink ref="O2" location="'Data Requirements'!A1" display="BACK" xr:uid="{9B6D91AC-E2C0-4583-A5FD-4DB7A104589D}"/>
  </hyperlink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9F12D5-D1F2-42D7-8033-4EA417F6DE2F}">
  <sheetPr codeName="Sheet6">
    <tabColor rgb="FF26B8AD"/>
  </sheetPr>
  <dimension ref="B1:Q64"/>
  <sheetViews>
    <sheetView zoomScaleNormal="100" workbookViewId="0"/>
  </sheetViews>
  <sheetFormatPr defaultColWidth="11.42578125" defaultRowHeight="12.75" x14ac:dyDescent="0.2"/>
  <cols>
    <col min="1" max="1" width="2.7109375" style="174" customWidth="1"/>
    <col min="2" max="2" width="16.140625" style="174" bestFit="1" customWidth="1"/>
    <col min="3" max="14" width="13.14062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149</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N7" s="172"/>
    </row>
    <row r="8" spans="2:17" s="173" customFormat="1" ht="14.45" customHeight="1" x14ac:dyDescent="0.2">
      <c r="C8" s="177" t="s">
        <v>4</v>
      </c>
      <c r="D8" s="404">
        <f>Header!$D$5</f>
        <v>0</v>
      </c>
      <c r="E8" s="405"/>
      <c r="F8" s="173" t="s">
        <v>108</v>
      </c>
    </row>
    <row r="9" spans="2:17" s="173" customFormat="1" ht="14.45" customHeight="1" x14ac:dyDescent="0.2">
      <c r="C9" s="177" t="s">
        <v>5</v>
      </c>
      <c r="D9" s="404">
        <f>Header!$D$6</f>
        <v>0</v>
      </c>
      <c r="E9" s="405"/>
    </row>
    <row r="10" spans="2:17" s="173" customFormat="1" ht="14.45" customHeight="1" x14ac:dyDescent="0.2">
      <c r="C10" s="177" t="s">
        <v>109</v>
      </c>
      <c r="D10" s="404">
        <f>YEAR(Header!$D$11)</f>
        <v>1900</v>
      </c>
      <c r="E10" s="405"/>
    </row>
    <row r="11" spans="2:17" s="173" customFormat="1" ht="14.45" customHeight="1" x14ac:dyDescent="0.2">
      <c r="C11" s="177" t="s">
        <v>14</v>
      </c>
      <c r="D11" s="404">
        <f>Header!$D$15</f>
        <v>0</v>
      </c>
      <c r="E11" s="405"/>
    </row>
    <row r="12" spans="2:17" s="173" customFormat="1" ht="14.45" customHeight="1" x14ac:dyDescent="0.2">
      <c r="C12" s="177" t="s">
        <v>110</v>
      </c>
      <c r="D12" s="384"/>
      <c r="E12" s="386"/>
    </row>
    <row r="13" spans="2:17" s="173" customFormat="1" ht="14.45" customHeight="1" thickBot="1" x14ac:dyDescent="0.25"/>
    <row r="14" spans="2:17" s="173" customFormat="1" ht="13.5" thickBot="1" x14ac:dyDescent="0.25">
      <c r="B14" s="26" t="s">
        <v>134</v>
      </c>
      <c r="C14" s="34">
        <f>D10</f>
        <v>1900</v>
      </c>
      <c r="D14" s="35">
        <f>C14-1</f>
        <v>1899</v>
      </c>
      <c r="E14" s="35">
        <f t="shared" ref="E14:N14" si="0">D14-1</f>
        <v>1898</v>
      </c>
      <c r="F14" s="35">
        <f t="shared" si="0"/>
        <v>1897</v>
      </c>
      <c r="G14" s="35">
        <f t="shared" si="0"/>
        <v>1896</v>
      </c>
      <c r="H14" s="35">
        <f t="shared" si="0"/>
        <v>1895</v>
      </c>
      <c r="I14" s="35">
        <f t="shared" si="0"/>
        <v>1894</v>
      </c>
      <c r="J14" s="35">
        <f t="shared" si="0"/>
        <v>1893</v>
      </c>
      <c r="K14" s="35">
        <f t="shared" si="0"/>
        <v>1892</v>
      </c>
      <c r="L14" s="35">
        <f t="shared" si="0"/>
        <v>1891</v>
      </c>
      <c r="M14" s="35">
        <f t="shared" si="0"/>
        <v>1890</v>
      </c>
      <c r="N14" s="36">
        <f t="shared" si="0"/>
        <v>1889</v>
      </c>
    </row>
    <row r="15" spans="2:17" s="173" customFormat="1" ht="13.5" thickBot="1" x14ac:dyDescent="0.25">
      <c r="B15" s="62" t="s">
        <v>150</v>
      </c>
      <c r="C15" s="63"/>
      <c r="D15" s="64"/>
      <c r="E15" s="64"/>
      <c r="F15" s="64"/>
      <c r="G15" s="64"/>
      <c r="H15" s="64"/>
      <c r="I15" s="64"/>
      <c r="J15" s="64"/>
      <c r="K15" s="64"/>
      <c r="L15" s="64"/>
      <c r="M15" s="64"/>
      <c r="N15" s="171"/>
    </row>
    <row r="16" spans="2:17" s="173" customFormat="1" x14ac:dyDescent="0.2"/>
    <row r="17" spans="2:5" x14ac:dyDescent="0.2">
      <c r="B17" s="285" t="s">
        <v>18</v>
      </c>
      <c r="C17" s="173"/>
      <c r="D17" s="173"/>
      <c r="E17" s="173"/>
    </row>
    <row r="18" spans="2:5" x14ac:dyDescent="0.2">
      <c r="B18" s="403"/>
      <c r="C18" s="403"/>
      <c r="D18" s="403"/>
      <c r="E18" s="403"/>
    </row>
    <row r="19" spans="2:5" x14ac:dyDescent="0.2">
      <c r="B19" s="403"/>
      <c r="C19" s="403"/>
      <c r="D19" s="403"/>
      <c r="E19" s="403"/>
    </row>
    <row r="20" spans="2:5" x14ac:dyDescent="0.2">
      <c r="B20" s="403"/>
      <c r="C20" s="403"/>
      <c r="D20" s="403"/>
      <c r="E20" s="403"/>
    </row>
    <row r="33" s="174" customFormat="1" x14ac:dyDescent="0.2"/>
    <row r="34" s="174" customFormat="1" x14ac:dyDescent="0.2"/>
    <row r="35" s="174" customFormat="1" x14ac:dyDescent="0.2"/>
    <row r="36" s="174" customFormat="1" x14ac:dyDescent="0.2"/>
    <row r="37" s="174" customFormat="1" x14ac:dyDescent="0.2"/>
    <row r="38" s="174" customFormat="1" x14ac:dyDescent="0.2"/>
    <row r="39" s="174" customFormat="1" x14ac:dyDescent="0.2"/>
    <row r="40" s="174" customFormat="1" x14ac:dyDescent="0.2"/>
    <row r="41" s="174" customFormat="1" x14ac:dyDescent="0.2"/>
    <row r="42" s="174" customFormat="1" x14ac:dyDescent="0.2"/>
    <row r="43" s="174" customFormat="1" x14ac:dyDescent="0.2"/>
    <row r="44" s="174" customFormat="1" x14ac:dyDescent="0.2"/>
    <row r="45" s="174" customFormat="1" x14ac:dyDescent="0.2"/>
    <row r="46" s="174" customFormat="1" x14ac:dyDescent="0.2"/>
    <row r="47" s="174" customFormat="1" x14ac:dyDescent="0.2"/>
    <row r="48" s="174" customFormat="1" x14ac:dyDescent="0.2"/>
    <row r="49" s="174" customFormat="1" x14ac:dyDescent="0.2"/>
    <row r="50" s="174" customFormat="1" x14ac:dyDescent="0.2"/>
    <row r="51" s="174" customFormat="1" x14ac:dyDescent="0.2"/>
    <row r="52" s="174" customFormat="1" x14ac:dyDescent="0.2"/>
    <row r="53" s="174" customFormat="1" x14ac:dyDescent="0.2"/>
    <row r="54" s="174" customFormat="1" x14ac:dyDescent="0.2"/>
    <row r="55" s="174" customFormat="1" x14ac:dyDescent="0.2"/>
    <row r="56" s="174" customFormat="1" x14ac:dyDescent="0.2"/>
    <row r="57" s="174" customFormat="1" x14ac:dyDescent="0.2"/>
    <row r="58" s="174" customFormat="1" x14ac:dyDescent="0.2"/>
    <row r="59" s="174" customFormat="1" x14ac:dyDescent="0.2"/>
    <row r="60" s="174" customFormat="1" x14ac:dyDescent="0.2"/>
    <row r="61" s="174" customFormat="1" x14ac:dyDescent="0.2"/>
    <row r="62" s="174" customFormat="1" x14ac:dyDescent="0.2"/>
    <row r="63" s="174" customFormat="1" x14ac:dyDescent="0.2"/>
    <row r="64" s="174" customFormat="1" x14ac:dyDescent="0.2"/>
  </sheetData>
  <mergeCells count="10">
    <mergeCell ref="B18:E20"/>
    <mergeCell ref="D12:E12"/>
    <mergeCell ref="D9:E9"/>
    <mergeCell ref="D8:E8"/>
    <mergeCell ref="B2:N2"/>
    <mergeCell ref="B4:N4"/>
    <mergeCell ref="B5:N5"/>
    <mergeCell ref="D7:E7"/>
    <mergeCell ref="D10:E10"/>
    <mergeCell ref="D11:E11"/>
  </mergeCells>
  <dataValidations count="1">
    <dataValidation type="list" allowBlank="1" showInputMessage="1" showErrorMessage="1" sqref="D12:E12" xr:uid="{FBA207A0-38B6-4822-A551-CA692F354DE1}">
      <formula1>INDIRECT(D11)</formula1>
    </dataValidation>
  </dataValidations>
  <hyperlinks>
    <hyperlink ref="O2" location="'Data Requirements'!A1" display="BACK" xr:uid="{B4C7EED8-D2AF-412B-AC28-BEE66C5B83D9}"/>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B1:Q96"/>
  <sheetViews>
    <sheetView zoomScaleNormal="100" workbookViewId="0"/>
  </sheetViews>
  <sheetFormatPr defaultColWidth="11.42578125" defaultRowHeight="12.75" x14ac:dyDescent="0.2"/>
  <cols>
    <col min="1" max="1" width="2.7109375" style="174" customWidth="1"/>
    <col min="2" max="2" width="6.7109375" style="174" customWidth="1"/>
    <col min="3" max="3" width="13.7109375" style="174" customWidth="1"/>
    <col min="4" max="4" width="1.5703125" style="174" customWidth="1"/>
    <col min="5" max="12" width="13.7109375" style="174" customWidth="1"/>
    <col min="13" max="13" width="7.7109375" style="174" customWidth="1"/>
    <col min="14"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151</v>
      </c>
      <c r="C2" s="391"/>
      <c r="D2" s="391"/>
      <c r="E2" s="391"/>
      <c r="F2" s="391"/>
      <c r="G2" s="391"/>
      <c r="H2" s="391"/>
      <c r="I2" s="391"/>
      <c r="J2" s="391"/>
      <c r="K2" s="391"/>
      <c r="L2" s="392"/>
      <c r="M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8"/>
    </row>
    <row r="5" spans="2:17" s="172" customFormat="1" ht="42.95" customHeight="1" thickBot="1" x14ac:dyDescent="0.25">
      <c r="B5" s="409" t="s">
        <v>106</v>
      </c>
      <c r="C5" s="410"/>
      <c r="D5" s="410"/>
      <c r="E5" s="410"/>
      <c r="F5" s="410"/>
      <c r="G5" s="410"/>
      <c r="H5" s="410"/>
      <c r="I5" s="410"/>
      <c r="J5" s="410"/>
      <c r="K5" s="410"/>
      <c r="L5" s="411"/>
      <c r="M5" s="178"/>
    </row>
    <row r="6" spans="2:17" s="173" customFormat="1" ht="14.45" customHeight="1" x14ac:dyDescent="0.2">
      <c r="J6" s="175"/>
      <c r="M6" s="172"/>
      <c r="N6" s="172"/>
      <c r="O6" s="172"/>
      <c r="P6" s="172"/>
      <c r="Q6" s="172"/>
    </row>
    <row r="7" spans="2:17" s="173" customFormat="1" ht="14.45" customHeight="1" x14ac:dyDescent="0.2">
      <c r="C7" s="177" t="s">
        <v>107</v>
      </c>
      <c r="D7" s="175"/>
      <c r="E7" s="404">
        <f>Header!$D$4</f>
        <v>0</v>
      </c>
      <c r="F7" s="405"/>
      <c r="N7" s="172"/>
    </row>
    <row r="8" spans="2:17" s="173" customFormat="1" ht="14.45" customHeight="1" x14ac:dyDescent="0.2">
      <c r="C8" s="177" t="s">
        <v>4</v>
      </c>
      <c r="D8" s="175"/>
      <c r="E8" s="404">
        <f>Header!$D$5</f>
        <v>0</v>
      </c>
      <c r="F8" s="405"/>
      <c r="G8" s="173" t="s">
        <v>108</v>
      </c>
    </row>
    <row r="9" spans="2:17" s="173" customFormat="1" ht="14.45" customHeight="1" x14ac:dyDescent="0.2">
      <c r="C9" s="177" t="s">
        <v>5</v>
      </c>
      <c r="D9" s="175"/>
      <c r="E9" s="404">
        <f>Header!$D$6</f>
        <v>0</v>
      </c>
      <c r="F9" s="405"/>
    </row>
    <row r="10" spans="2:17" s="173" customFormat="1" ht="14.45" customHeight="1" x14ac:dyDescent="0.2">
      <c r="C10" s="177" t="s">
        <v>109</v>
      </c>
      <c r="D10" s="175"/>
      <c r="E10" s="404">
        <f>YEAR(Header!$D$11)</f>
        <v>1900</v>
      </c>
      <c r="F10" s="405"/>
    </row>
    <row r="11" spans="2:17" s="173" customFormat="1" ht="14.45" customHeight="1" x14ac:dyDescent="0.2">
      <c r="C11" s="177" t="s">
        <v>14</v>
      </c>
      <c r="D11" s="175"/>
      <c r="E11" s="404">
        <f>Header!$D$15</f>
        <v>0</v>
      </c>
      <c r="F11" s="405"/>
    </row>
    <row r="12" spans="2:17" s="173" customFormat="1" ht="14.45" customHeight="1" x14ac:dyDescent="0.2">
      <c r="C12" s="177" t="s">
        <v>110</v>
      </c>
      <c r="D12" s="175"/>
      <c r="E12" s="384"/>
      <c r="F12" s="386"/>
    </row>
    <row r="13" spans="2:17" s="173" customFormat="1" ht="14.45" customHeight="1" x14ac:dyDescent="0.2">
      <c r="C13" s="177" t="s">
        <v>152</v>
      </c>
      <c r="D13" s="175"/>
      <c r="E13" s="384"/>
      <c r="F13" s="414"/>
    </row>
    <row r="14" spans="2:17" s="173" customFormat="1" ht="14.45" customHeight="1" x14ac:dyDescent="0.2">
      <c r="C14" s="177" t="s">
        <v>153</v>
      </c>
      <c r="D14" s="175"/>
      <c r="E14" s="384"/>
      <c r="F14" s="414"/>
      <c r="G14" s="179" t="s">
        <v>154</v>
      </c>
    </row>
    <row r="15" spans="2:17" s="173" customFormat="1" ht="14.45" customHeight="1" thickBot="1" x14ac:dyDescent="0.25"/>
    <row r="16" spans="2:17" s="173" customFormat="1" ht="14.45" customHeight="1" x14ac:dyDescent="0.2">
      <c r="B16" s="5" t="s">
        <v>155</v>
      </c>
      <c r="C16" s="415" t="s">
        <v>156</v>
      </c>
      <c r="D16" s="415"/>
      <c r="E16" s="416"/>
      <c r="F16" s="371" t="s">
        <v>157</v>
      </c>
      <c r="G16" s="371" t="s">
        <v>158</v>
      </c>
      <c r="H16" s="6" t="s">
        <v>159</v>
      </c>
      <c r="I16" s="6" t="s">
        <v>160</v>
      </c>
      <c r="J16" s="6" t="s">
        <v>159</v>
      </c>
      <c r="K16" s="7" t="s">
        <v>161</v>
      </c>
      <c r="L16" s="8" t="s">
        <v>162</v>
      </c>
    </row>
    <row r="17" spans="2:12" s="173" customFormat="1" ht="14.45" customHeight="1" x14ac:dyDescent="0.2">
      <c r="B17" s="9" t="s">
        <v>163</v>
      </c>
      <c r="C17" s="412" t="s">
        <v>164</v>
      </c>
      <c r="D17" s="412"/>
      <c r="E17" s="413"/>
      <c r="F17" s="370" t="s">
        <v>165</v>
      </c>
      <c r="G17" s="370" t="s">
        <v>132</v>
      </c>
      <c r="H17" s="4" t="s">
        <v>166</v>
      </c>
      <c r="I17" s="4" t="s">
        <v>165</v>
      </c>
      <c r="J17" s="4" t="s">
        <v>167</v>
      </c>
      <c r="K17" s="3" t="s">
        <v>168</v>
      </c>
      <c r="L17" s="10" t="s">
        <v>168</v>
      </c>
    </row>
    <row r="18" spans="2:12" s="173" customFormat="1" ht="14.45" customHeight="1" thickBot="1" x14ac:dyDescent="0.25">
      <c r="B18" s="169" t="s">
        <v>169</v>
      </c>
      <c r="C18" s="65" t="s">
        <v>170</v>
      </c>
      <c r="D18" s="65"/>
      <c r="E18" s="66" t="s">
        <v>171</v>
      </c>
      <c r="F18" s="66" t="s">
        <v>172</v>
      </c>
      <c r="G18" s="66" t="s">
        <v>172</v>
      </c>
      <c r="H18" s="67" t="s">
        <v>172</v>
      </c>
      <c r="I18" s="67" t="s">
        <v>172</v>
      </c>
      <c r="J18" s="67" t="s">
        <v>172</v>
      </c>
      <c r="K18" s="68" t="s">
        <v>172</v>
      </c>
      <c r="L18" s="69" t="s">
        <v>172</v>
      </c>
    </row>
    <row r="19" spans="2:12" s="173" customFormat="1" ht="14.45" customHeight="1" x14ac:dyDescent="0.2">
      <c r="B19" s="70">
        <v>1</v>
      </c>
      <c r="C19" s="71">
        <v>0</v>
      </c>
      <c r="D19" s="267" t="s">
        <v>173</v>
      </c>
      <c r="E19" s="249"/>
      <c r="F19" s="258" t="e">
        <f t="shared" ref="F19:F33" si="0">I19/H19</f>
        <v>#DIV/0!</v>
      </c>
      <c r="G19" s="250"/>
      <c r="H19" s="250"/>
      <c r="I19" s="250"/>
      <c r="J19" s="250"/>
      <c r="K19" s="250"/>
      <c r="L19" s="251"/>
    </row>
    <row r="20" spans="2:12" s="173" customFormat="1" ht="14.45" customHeight="1" x14ac:dyDescent="0.2">
      <c r="B20" s="72">
        <f>B19+1</f>
        <v>2</v>
      </c>
      <c r="C20" s="73" t="str">
        <f t="shared" ref="C20:C33" si="1">IF(E20&gt;0,+E19+1," ")</f>
        <v xml:space="preserve"> </v>
      </c>
      <c r="D20" s="268" t="s">
        <v>173</v>
      </c>
      <c r="E20" s="252"/>
      <c r="F20" s="259" t="e">
        <f t="shared" si="0"/>
        <v>#DIV/0!</v>
      </c>
      <c r="G20" s="253"/>
      <c r="H20" s="253"/>
      <c r="I20" s="253"/>
      <c r="J20" s="253"/>
      <c r="K20" s="253"/>
      <c r="L20" s="254"/>
    </row>
    <row r="21" spans="2:12" s="173" customFormat="1" ht="14.45" customHeight="1" x14ac:dyDescent="0.2">
      <c r="B21" s="72">
        <v>3</v>
      </c>
      <c r="C21" s="73" t="str">
        <f t="shared" si="1"/>
        <v xml:space="preserve"> </v>
      </c>
      <c r="D21" s="268" t="s">
        <v>173</v>
      </c>
      <c r="E21" s="252"/>
      <c r="F21" s="259" t="e">
        <f t="shared" si="0"/>
        <v>#DIV/0!</v>
      </c>
      <c r="G21" s="253"/>
      <c r="H21" s="253"/>
      <c r="I21" s="253"/>
      <c r="J21" s="253"/>
      <c r="K21" s="253"/>
      <c r="L21" s="254"/>
    </row>
    <row r="22" spans="2:12" s="173" customFormat="1" ht="14.45" customHeight="1" x14ac:dyDescent="0.2">
      <c r="B22" s="72">
        <v>4</v>
      </c>
      <c r="C22" s="73" t="str">
        <f t="shared" si="1"/>
        <v xml:space="preserve"> </v>
      </c>
      <c r="D22" s="268" t="s">
        <v>173</v>
      </c>
      <c r="E22" s="252"/>
      <c r="F22" s="259" t="e">
        <f t="shared" si="0"/>
        <v>#DIV/0!</v>
      </c>
      <c r="G22" s="253"/>
      <c r="H22" s="253"/>
      <c r="I22" s="253"/>
      <c r="J22" s="253"/>
      <c r="K22" s="253"/>
      <c r="L22" s="254"/>
    </row>
    <row r="23" spans="2:12" s="173" customFormat="1" ht="14.45" customHeight="1" x14ac:dyDescent="0.2">
      <c r="B23" s="72">
        <v>5</v>
      </c>
      <c r="C23" s="73" t="str">
        <f t="shared" si="1"/>
        <v xml:space="preserve"> </v>
      </c>
      <c r="D23" s="268" t="s">
        <v>173</v>
      </c>
      <c r="E23" s="252"/>
      <c r="F23" s="259" t="e">
        <f t="shared" si="0"/>
        <v>#DIV/0!</v>
      </c>
      <c r="G23" s="253"/>
      <c r="H23" s="253"/>
      <c r="I23" s="253"/>
      <c r="J23" s="253"/>
      <c r="K23" s="253"/>
      <c r="L23" s="254"/>
    </row>
    <row r="24" spans="2:12" s="173" customFormat="1" ht="14.45" customHeight="1" x14ac:dyDescent="0.2">
      <c r="B24" s="72">
        <v>6</v>
      </c>
      <c r="C24" s="73" t="str">
        <f t="shared" si="1"/>
        <v xml:space="preserve"> </v>
      </c>
      <c r="D24" s="268" t="s">
        <v>173</v>
      </c>
      <c r="E24" s="252"/>
      <c r="F24" s="259" t="e">
        <f t="shared" si="0"/>
        <v>#DIV/0!</v>
      </c>
      <c r="G24" s="253"/>
      <c r="H24" s="253"/>
      <c r="I24" s="253"/>
      <c r="J24" s="253"/>
      <c r="K24" s="253"/>
      <c r="L24" s="254"/>
    </row>
    <row r="25" spans="2:12" s="173" customFormat="1" ht="14.45" customHeight="1" x14ac:dyDescent="0.2">
      <c r="B25" s="72">
        <v>7</v>
      </c>
      <c r="C25" s="73" t="str">
        <f t="shared" si="1"/>
        <v xml:space="preserve"> </v>
      </c>
      <c r="D25" s="268" t="s">
        <v>173</v>
      </c>
      <c r="E25" s="252"/>
      <c r="F25" s="259" t="e">
        <f t="shared" si="0"/>
        <v>#DIV/0!</v>
      </c>
      <c r="G25" s="253"/>
      <c r="H25" s="253"/>
      <c r="I25" s="253"/>
      <c r="J25" s="253"/>
      <c r="K25" s="253"/>
      <c r="L25" s="254"/>
    </row>
    <row r="26" spans="2:12" s="173" customFormat="1" ht="14.45" customHeight="1" x14ac:dyDescent="0.2">
      <c r="B26" s="72">
        <v>8</v>
      </c>
      <c r="C26" s="73" t="str">
        <f t="shared" si="1"/>
        <v xml:space="preserve"> </v>
      </c>
      <c r="D26" s="268" t="s">
        <v>173</v>
      </c>
      <c r="E26" s="252"/>
      <c r="F26" s="259" t="e">
        <f t="shared" si="0"/>
        <v>#DIV/0!</v>
      </c>
      <c r="G26" s="253"/>
      <c r="H26" s="253"/>
      <c r="I26" s="253"/>
      <c r="J26" s="253"/>
      <c r="K26" s="253"/>
      <c r="L26" s="254"/>
    </row>
    <row r="27" spans="2:12" s="173" customFormat="1" ht="14.45" customHeight="1" x14ac:dyDescent="0.2">
      <c r="B27" s="72">
        <v>9</v>
      </c>
      <c r="C27" s="73" t="str">
        <f t="shared" si="1"/>
        <v xml:space="preserve"> </v>
      </c>
      <c r="D27" s="268" t="s">
        <v>173</v>
      </c>
      <c r="E27" s="252"/>
      <c r="F27" s="259" t="e">
        <f t="shared" si="0"/>
        <v>#DIV/0!</v>
      </c>
      <c r="G27" s="253"/>
      <c r="H27" s="253"/>
      <c r="I27" s="253"/>
      <c r="J27" s="253"/>
      <c r="K27" s="253"/>
      <c r="L27" s="254"/>
    </row>
    <row r="28" spans="2:12" s="173" customFormat="1" ht="14.45" customHeight="1" x14ac:dyDescent="0.2">
      <c r="B28" s="72">
        <v>10</v>
      </c>
      <c r="C28" s="73" t="str">
        <f t="shared" si="1"/>
        <v xml:space="preserve"> </v>
      </c>
      <c r="D28" s="268" t="s">
        <v>173</v>
      </c>
      <c r="E28" s="252"/>
      <c r="F28" s="259" t="e">
        <f t="shared" si="0"/>
        <v>#DIV/0!</v>
      </c>
      <c r="G28" s="253"/>
      <c r="H28" s="253"/>
      <c r="I28" s="253"/>
      <c r="J28" s="253"/>
      <c r="K28" s="253"/>
      <c r="L28" s="254"/>
    </row>
    <row r="29" spans="2:12" s="173" customFormat="1" ht="14.45" customHeight="1" x14ac:dyDescent="0.2">
      <c r="B29" s="72">
        <v>11</v>
      </c>
      <c r="C29" s="73" t="str">
        <f t="shared" si="1"/>
        <v xml:space="preserve"> </v>
      </c>
      <c r="D29" s="268" t="s">
        <v>173</v>
      </c>
      <c r="E29" s="252"/>
      <c r="F29" s="259" t="e">
        <f t="shared" si="0"/>
        <v>#DIV/0!</v>
      </c>
      <c r="G29" s="253"/>
      <c r="H29" s="253"/>
      <c r="I29" s="253"/>
      <c r="J29" s="253"/>
      <c r="K29" s="253"/>
      <c r="L29" s="254"/>
    </row>
    <row r="30" spans="2:12" s="173" customFormat="1" ht="14.45" customHeight="1" x14ac:dyDescent="0.2">
      <c r="B30" s="72">
        <v>12</v>
      </c>
      <c r="C30" s="73" t="str">
        <f t="shared" si="1"/>
        <v xml:space="preserve"> </v>
      </c>
      <c r="D30" s="268" t="s">
        <v>173</v>
      </c>
      <c r="E30" s="252"/>
      <c r="F30" s="259" t="e">
        <f t="shared" si="0"/>
        <v>#DIV/0!</v>
      </c>
      <c r="G30" s="253"/>
      <c r="H30" s="253"/>
      <c r="I30" s="253"/>
      <c r="J30" s="253"/>
      <c r="K30" s="253"/>
      <c r="L30" s="254"/>
    </row>
    <row r="31" spans="2:12" s="173" customFormat="1" ht="14.45" customHeight="1" x14ac:dyDescent="0.2">
      <c r="B31" s="72">
        <f>B30+1</f>
        <v>13</v>
      </c>
      <c r="C31" s="73" t="str">
        <f t="shared" si="1"/>
        <v xml:space="preserve"> </v>
      </c>
      <c r="D31" s="268" t="s">
        <v>173</v>
      </c>
      <c r="E31" s="252"/>
      <c r="F31" s="259" t="e">
        <f t="shared" si="0"/>
        <v>#DIV/0!</v>
      </c>
      <c r="G31" s="253"/>
      <c r="H31" s="253"/>
      <c r="I31" s="253"/>
      <c r="J31" s="253"/>
      <c r="K31" s="253"/>
      <c r="L31" s="254"/>
    </row>
    <row r="32" spans="2:12" s="173" customFormat="1" ht="14.45" customHeight="1" x14ac:dyDescent="0.2">
      <c r="B32" s="72">
        <f>B31+1</f>
        <v>14</v>
      </c>
      <c r="C32" s="73" t="str">
        <f t="shared" si="1"/>
        <v xml:space="preserve"> </v>
      </c>
      <c r="D32" s="268" t="s">
        <v>173</v>
      </c>
      <c r="E32" s="252"/>
      <c r="F32" s="259" t="e">
        <f t="shared" si="0"/>
        <v>#DIV/0!</v>
      </c>
      <c r="G32" s="253"/>
      <c r="H32" s="253"/>
      <c r="I32" s="253"/>
      <c r="J32" s="253"/>
      <c r="K32" s="253"/>
      <c r="L32" s="254"/>
    </row>
    <row r="33" spans="2:12" s="173" customFormat="1" ht="14.45" customHeight="1" thickBot="1" x14ac:dyDescent="0.25">
      <c r="B33" s="74">
        <f>B32+1</f>
        <v>15</v>
      </c>
      <c r="C33" s="75" t="str">
        <f t="shared" si="1"/>
        <v xml:space="preserve"> </v>
      </c>
      <c r="D33" s="269" t="s">
        <v>173</v>
      </c>
      <c r="E33" s="255"/>
      <c r="F33" s="260" t="e">
        <f t="shared" si="0"/>
        <v>#DIV/0!</v>
      </c>
      <c r="G33" s="256"/>
      <c r="H33" s="256"/>
      <c r="I33" s="256"/>
      <c r="J33" s="256"/>
      <c r="K33" s="256"/>
      <c r="L33" s="257"/>
    </row>
    <row r="34" spans="2:12" s="173" customFormat="1" ht="14.45" customHeight="1" thickBot="1" x14ac:dyDescent="0.25">
      <c r="B34" s="76"/>
      <c r="C34" s="372"/>
      <c r="D34" s="77" t="s">
        <v>174</v>
      </c>
      <c r="E34" s="372"/>
      <c r="F34" s="374"/>
      <c r="G34" s="79">
        <f>SUM(G19:G33)</f>
        <v>0</v>
      </c>
      <c r="H34" s="78">
        <f>SUM(H19:H33)</f>
        <v>0</v>
      </c>
      <c r="I34" s="79">
        <f>SUM(I19:I33)</f>
        <v>0</v>
      </c>
      <c r="J34" s="79">
        <f t="shared" ref="J34:L34" si="2">SUM(J19:J33)</f>
        <v>0</v>
      </c>
      <c r="K34" s="79">
        <f t="shared" si="2"/>
        <v>0</v>
      </c>
      <c r="L34" s="80">
        <f t="shared" si="2"/>
        <v>0</v>
      </c>
    </row>
    <row r="35" spans="2:12" s="173" customFormat="1" ht="13.5" thickBot="1" x14ac:dyDescent="0.25"/>
    <row r="36" spans="2:12" s="173" customFormat="1" ht="14.45" customHeight="1" x14ac:dyDescent="0.2">
      <c r="B36" s="11" t="s">
        <v>175</v>
      </c>
      <c r="C36" s="44"/>
      <c r="D36" s="44" t="s">
        <v>176</v>
      </c>
      <c r="E36" s="44"/>
      <c r="F36" s="44"/>
      <c r="G36" s="44"/>
      <c r="H36" s="44"/>
      <c r="I36" s="44"/>
      <c r="J36" s="44"/>
      <c r="K36" s="44"/>
      <c r="L36" s="81"/>
    </row>
    <row r="37" spans="2:12" s="173" customFormat="1" ht="14.45" customHeight="1" x14ac:dyDescent="0.2">
      <c r="B37" s="82"/>
      <c r="C37" s="46"/>
      <c r="D37" s="46" t="s">
        <v>177</v>
      </c>
      <c r="E37" s="46"/>
      <c r="F37" s="46"/>
      <c r="G37" s="46"/>
      <c r="H37" s="46"/>
      <c r="I37" s="46"/>
      <c r="J37" s="46"/>
      <c r="K37" s="46"/>
      <c r="L37" s="47"/>
    </row>
    <row r="38" spans="2:12" s="173" customFormat="1" ht="14.45" customHeight="1" thickBot="1" x14ac:dyDescent="0.25">
      <c r="B38" s="83"/>
      <c r="C38" s="84"/>
      <c r="D38" s="84" t="s">
        <v>178</v>
      </c>
      <c r="E38" s="84"/>
      <c r="F38" s="84"/>
      <c r="G38" s="84"/>
      <c r="H38" s="84"/>
      <c r="I38" s="84"/>
      <c r="J38" s="84"/>
      <c r="K38" s="84"/>
      <c r="L38" s="85"/>
    </row>
    <row r="39" spans="2:12" ht="13.15" customHeight="1" x14ac:dyDescent="0.2"/>
    <row r="40" spans="2:12" ht="13.15" customHeight="1" x14ac:dyDescent="0.2">
      <c r="B40" s="285" t="s">
        <v>18</v>
      </c>
      <c r="C40" s="173"/>
      <c r="D40" s="173"/>
      <c r="E40" s="173"/>
    </row>
    <row r="41" spans="2:12" x14ac:dyDescent="0.2">
      <c r="B41" s="383"/>
      <c r="C41" s="383"/>
      <c r="D41" s="383"/>
      <c r="E41" s="383"/>
    </row>
    <row r="42" spans="2:12" x14ac:dyDescent="0.2">
      <c r="B42" s="383"/>
      <c r="C42" s="383"/>
      <c r="D42" s="383"/>
      <c r="E42" s="383"/>
    </row>
    <row r="43" spans="2:12" x14ac:dyDescent="0.2">
      <c r="B43" s="383"/>
      <c r="C43" s="383"/>
      <c r="D43" s="383"/>
      <c r="E43" s="38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4">
    <mergeCell ref="B41:E43"/>
    <mergeCell ref="B2:L2"/>
    <mergeCell ref="B4:L4"/>
    <mergeCell ref="B5:L5"/>
    <mergeCell ref="E7:F7"/>
    <mergeCell ref="E10:F10"/>
    <mergeCell ref="E8:F8"/>
    <mergeCell ref="C17:E17"/>
    <mergeCell ref="E14:F14"/>
    <mergeCell ref="E11:F11"/>
    <mergeCell ref="E12:F12"/>
    <mergeCell ref="E9:F9"/>
    <mergeCell ref="C16:E16"/>
    <mergeCell ref="E13:F13"/>
  </mergeCells>
  <dataValidations count="1">
    <dataValidation type="list" allowBlank="1" showInputMessage="1" showErrorMessage="1" sqref="E12:F12" xr:uid="{BE28E16B-93A6-471A-91A3-77CB85A30C90}">
      <formula1>INDIRECT(E11)</formula1>
    </dataValidation>
  </dataValidations>
  <hyperlinks>
    <hyperlink ref="M2" location="'Data Requirements'!A1" display="BACK" xr:uid="{B59F7E22-7334-48DA-8E5C-05BFB937B0D4}"/>
  </hyperlink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E13:F13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Q53"/>
  <sheetViews>
    <sheetView tabSelected="1" topLeftCell="A5" zoomScaleNormal="100" workbookViewId="0"/>
  </sheetViews>
  <sheetFormatPr defaultColWidth="11.42578125" defaultRowHeight="12.75" x14ac:dyDescent="0.2"/>
  <cols>
    <col min="1" max="1" width="2.7109375" style="174" customWidth="1"/>
    <col min="2" max="2" width="12.85546875" style="174" customWidth="1"/>
    <col min="3" max="3" width="12.140625" style="174" customWidth="1"/>
    <col min="4" max="4" width="19.85546875" style="174" customWidth="1"/>
    <col min="5" max="5" width="12.5703125" style="174" bestFit="1" customWidth="1"/>
    <col min="6" max="16" width="14.42578125" style="174" customWidth="1"/>
    <col min="17" max="17" width="7.7109375" style="174" customWidth="1"/>
    <col min="18"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7" ht="13.5" thickBot="1" x14ac:dyDescent="0.25"/>
    <row r="2" spans="1:17" ht="47.1" customHeight="1" thickBot="1" x14ac:dyDescent="0.25">
      <c r="B2" s="390" t="s">
        <v>179</v>
      </c>
      <c r="C2" s="391"/>
      <c r="D2" s="391"/>
      <c r="E2" s="391"/>
      <c r="F2" s="391"/>
      <c r="G2" s="391"/>
      <c r="H2" s="391"/>
      <c r="I2" s="391"/>
      <c r="J2" s="391"/>
      <c r="K2" s="391"/>
      <c r="L2" s="391"/>
      <c r="M2" s="391"/>
      <c r="N2" s="391"/>
      <c r="O2" s="391"/>
      <c r="P2" s="392"/>
      <c r="Q2" s="240" t="s">
        <v>20</v>
      </c>
    </row>
    <row r="3" spans="1:17" ht="14.45" customHeight="1" thickBot="1" x14ac:dyDescent="0.45">
      <c r="C3" s="176"/>
      <c r="D3" s="176"/>
      <c r="E3" s="176"/>
      <c r="F3" s="176"/>
      <c r="G3" s="176"/>
    </row>
    <row r="4" spans="1:17" s="172" customFormat="1" x14ac:dyDescent="0.2">
      <c r="B4" s="406" t="s">
        <v>105</v>
      </c>
      <c r="C4" s="407"/>
      <c r="D4" s="407"/>
      <c r="E4" s="407"/>
      <c r="F4" s="407"/>
      <c r="G4" s="407"/>
      <c r="H4" s="407"/>
      <c r="I4" s="407"/>
      <c r="J4" s="407"/>
      <c r="K4" s="407"/>
      <c r="L4" s="407"/>
      <c r="M4" s="407"/>
      <c r="N4" s="407"/>
      <c r="O4" s="407"/>
      <c r="P4" s="408"/>
    </row>
    <row r="5" spans="1:17" s="172" customFormat="1" ht="31.5" customHeight="1" thickBot="1" x14ac:dyDescent="0.25">
      <c r="B5" s="409" t="s">
        <v>106</v>
      </c>
      <c r="C5" s="410"/>
      <c r="D5" s="410"/>
      <c r="E5" s="410"/>
      <c r="F5" s="410"/>
      <c r="G5" s="410"/>
      <c r="H5" s="410"/>
      <c r="I5" s="410"/>
      <c r="J5" s="410"/>
      <c r="K5" s="410"/>
      <c r="L5" s="410"/>
      <c r="M5" s="410"/>
      <c r="N5" s="410"/>
      <c r="O5" s="410"/>
      <c r="P5" s="411"/>
    </row>
    <row r="6" spans="1:17" s="173" customFormat="1" ht="14.45" customHeight="1" x14ac:dyDescent="0.2">
      <c r="I6" s="175"/>
      <c r="L6" s="172"/>
      <c r="M6" s="172"/>
      <c r="N6" s="172"/>
      <c r="O6" s="172"/>
      <c r="P6" s="172"/>
    </row>
    <row r="7" spans="1:17" s="173" customFormat="1" ht="14.45" customHeight="1" x14ac:dyDescent="0.2">
      <c r="C7" s="177" t="s">
        <v>107</v>
      </c>
      <c r="D7" s="404">
        <f>Header!$D$4</f>
        <v>0</v>
      </c>
      <c r="E7" s="405"/>
      <c r="F7" s="179"/>
      <c r="M7" s="172"/>
    </row>
    <row r="8" spans="1:17" s="173" customFormat="1" ht="14.45" customHeight="1" x14ac:dyDescent="0.2">
      <c r="C8" s="177" t="s">
        <v>4</v>
      </c>
      <c r="D8" s="404">
        <f>Header!$D$5</f>
        <v>0</v>
      </c>
      <c r="E8" s="405"/>
      <c r="F8" s="179" t="s">
        <v>108</v>
      </c>
    </row>
    <row r="9" spans="1:17" s="173" customFormat="1" ht="14.45" customHeight="1" x14ac:dyDescent="0.2">
      <c r="C9" s="177" t="s">
        <v>5</v>
      </c>
      <c r="D9" s="404">
        <f>Header!$D$6</f>
        <v>0</v>
      </c>
      <c r="E9" s="405"/>
      <c r="F9" s="179"/>
    </row>
    <row r="10" spans="1:17" s="173" customFormat="1" ht="14.45" customHeight="1" x14ac:dyDescent="0.2">
      <c r="C10" s="177" t="s">
        <v>109</v>
      </c>
      <c r="D10" s="404">
        <f>YEAR(Header!$D$11)</f>
        <v>1900</v>
      </c>
      <c r="E10" s="405"/>
      <c r="F10" s="179"/>
    </row>
    <row r="11" spans="1:17" s="173" customFormat="1" ht="14.45" customHeight="1" x14ac:dyDescent="0.2">
      <c r="C11" s="177" t="s">
        <v>14</v>
      </c>
      <c r="D11" s="404">
        <f>Header!$D$15</f>
        <v>0</v>
      </c>
      <c r="E11" s="405"/>
      <c r="F11" s="179"/>
    </row>
    <row r="12" spans="1:17" s="173" customFormat="1" ht="14.45" customHeight="1" x14ac:dyDescent="0.2">
      <c r="C12" s="177" t="s">
        <v>110</v>
      </c>
      <c r="D12" s="384"/>
      <c r="E12" s="386"/>
      <c r="F12" s="179"/>
    </row>
    <row r="13" spans="1:17" s="173" customFormat="1" ht="14.45" customHeight="1" x14ac:dyDescent="0.2">
      <c r="C13" s="177" t="s">
        <v>180</v>
      </c>
      <c r="D13" s="417"/>
      <c r="E13" s="417"/>
      <c r="F13" s="179"/>
    </row>
    <row r="14" spans="1:17" s="173" customFormat="1" ht="14.45" customHeight="1" thickBot="1" x14ac:dyDescent="0.25"/>
    <row r="15" spans="1:17" s="173" customFormat="1" ht="26.25" thickBot="1" x14ac:dyDescent="0.25">
      <c r="A15" s="174"/>
      <c r="B15" s="86" t="s">
        <v>181</v>
      </c>
      <c r="C15" s="87" t="s">
        <v>182</v>
      </c>
      <c r="D15" s="87" t="s">
        <v>183</v>
      </c>
      <c r="E15" s="87" t="s">
        <v>184</v>
      </c>
      <c r="F15" s="88" t="s">
        <v>185</v>
      </c>
      <c r="G15" s="88" t="s">
        <v>186</v>
      </c>
      <c r="H15" s="88" t="s">
        <v>187</v>
      </c>
      <c r="I15" s="88" t="s">
        <v>188</v>
      </c>
      <c r="J15" s="87" t="s">
        <v>189</v>
      </c>
      <c r="K15" s="88" t="s">
        <v>190</v>
      </c>
      <c r="L15" s="88" t="s">
        <v>191</v>
      </c>
      <c r="M15" s="88" t="s">
        <v>192</v>
      </c>
      <c r="N15" s="88" t="s">
        <v>193</v>
      </c>
      <c r="O15" s="88" t="s">
        <v>194</v>
      </c>
      <c r="P15" s="89" t="s">
        <v>195</v>
      </c>
    </row>
    <row r="16" spans="1:17" s="173" customFormat="1" x14ac:dyDescent="0.2">
      <c r="A16" s="174"/>
      <c r="B16" s="311"/>
      <c r="C16" s="312"/>
      <c r="D16" s="312"/>
      <c r="E16" s="312"/>
      <c r="F16" s="312"/>
      <c r="G16" s="312"/>
      <c r="H16" s="312"/>
      <c r="I16" s="312"/>
      <c r="J16" s="312"/>
      <c r="K16" s="312"/>
      <c r="L16" s="312"/>
      <c r="M16" s="312"/>
      <c r="N16" s="312"/>
      <c r="O16" s="312"/>
      <c r="P16" s="313"/>
    </row>
    <row r="17" spans="1:16" s="173" customFormat="1" x14ac:dyDescent="0.2">
      <c r="A17" s="174"/>
      <c r="B17" s="311"/>
      <c r="C17" s="312"/>
      <c r="D17" s="312"/>
      <c r="E17" s="312"/>
      <c r="F17" s="312"/>
      <c r="G17" s="312"/>
      <c r="H17" s="312"/>
      <c r="I17" s="312"/>
      <c r="J17" s="312"/>
      <c r="K17" s="312"/>
      <c r="L17" s="312"/>
      <c r="M17" s="312"/>
      <c r="N17" s="312"/>
      <c r="O17" s="312"/>
      <c r="P17" s="313"/>
    </row>
    <row r="18" spans="1:16" s="173" customFormat="1" x14ac:dyDescent="0.2">
      <c r="A18" s="174"/>
      <c r="B18" s="311"/>
      <c r="C18" s="312"/>
      <c r="D18" s="312"/>
      <c r="E18" s="312"/>
      <c r="F18" s="312"/>
      <c r="G18" s="312"/>
      <c r="H18" s="312"/>
      <c r="I18" s="312"/>
      <c r="J18" s="312"/>
      <c r="K18" s="312"/>
      <c r="L18" s="312"/>
      <c r="M18" s="312"/>
      <c r="N18" s="312"/>
      <c r="O18" s="312"/>
      <c r="P18" s="313"/>
    </row>
    <row r="19" spans="1:16" s="173" customFormat="1" x14ac:dyDescent="0.2">
      <c r="A19" s="174"/>
      <c r="B19" s="311"/>
      <c r="C19" s="312"/>
      <c r="D19" s="312"/>
      <c r="E19" s="312"/>
      <c r="F19" s="312"/>
      <c r="G19" s="312"/>
      <c r="H19" s="312"/>
      <c r="I19" s="312"/>
      <c r="J19" s="312"/>
      <c r="K19" s="312"/>
      <c r="L19" s="312"/>
      <c r="M19" s="312"/>
      <c r="N19" s="312"/>
      <c r="O19" s="312"/>
      <c r="P19" s="313"/>
    </row>
    <row r="20" spans="1:16" s="173" customFormat="1" x14ac:dyDescent="0.2">
      <c r="A20" s="174"/>
      <c r="B20" s="311"/>
      <c r="C20" s="312"/>
      <c r="D20" s="312"/>
      <c r="E20" s="312"/>
      <c r="F20" s="312"/>
      <c r="G20" s="312"/>
      <c r="H20" s="312"/>
      <c r="I20" s="312"/>
      <c r="J20" s="312"/>
      <c r="K20" s="312"/>
      <c r="L20" s="312"/>
      <c r="M20" s="312"/>
      <c r="N20" s="312"/>
      <c r="O20" s="312"/>
      <c r="P20" s="313"/>
    </row>
    <row r="21" spans="1:16" s="173" customFormat="1" x14ac:dyDescent="0.2">
      <c r="A21" s="174"/>
      <c r="B21" s="311"/>
      <c r="C21" s="312"/>
      <c r="D21" s="312"/>
      <c r="E21" s="312"/>
      <c r="F21" s="312"/>
      <c r="G21" s="312"/>
      <c r="H21" s="312"/>
      <c r="I21" s="312"/>
      <c r="J21" s="312"/>
      <c r="K21" s="312"/>
      <c r="L21" s="312"/>
      <c r="M21" s="312"/>
      <c r="N21" s="312"/>
      <c r="O21" s="312"/>
      <c r="P21" s="313"/>
    </row>
    <row r="22" spans="1:16" s="173" customFormat="1" x14ac:dyDescent="0.2">
      <c r="A22" s="174"/>
      <c r="B22" s="311"/>
      <c r="C22" s="312"/>
      <c r="D22" s="312"/>
      <c r="E22" s="312"/>
      <c r="F22" s="312"/>
      <c r="G22" s="312"/>
      <c r="H22" s="312"/>
      <c r="I22" s="312"/>
      <c r="J22" s="312"/>
      <c r="K22" s="312"/>
      <c r="L22" s="312"/>
      <c r="M22" s="312"/>
      <c r="N22" s="312"/>
      <c r="O22" s="312"/>
      <c r="P22" s="313"/>
    </row>
    <row r="23" spans="1:16" s="173" customFormat="1" x14ac:dyDescent="0.2">
      <c r="A23" s="174"/>
      <c r="B23" s="311"/>
      <c r="C23" s="312"/>
      <c r="D23" s="312"/>
      <c r="E23" s="312"/>
      <c r="F23" s="312"/>
      <c r="G23" s="312"/>
      <c r="H23" s="312"/>
      <c r="I23" s="312"/>
      <c r="J23" s="312"/>
      <c r="K23" s="312"/>
      <c r="L23" s="312"/>
      <c r="M23" s="312"/>
      <c r="N23" s="312"/>
      <c r="O23" s="312"/>
      <c r="P23" s="313"/>
    </row>
    <row r="24" spans="1:16" s="173" customFormat="1" x14ac:dyDescent="0.2">
      <c r="A24" s="174"/>
      <c r="B24" s="311"/>
      <c r="C24" s="312"/>
      <c r="D24" s="312"/>
      <c r="E24" s="312"/>
      <c r="F24" s="312"/>
      <c r="G24" s="312"/>
      <c r="H24" s="312"/>
      <c r="I24" s="312"/>
      <c r="J24" s="312"/>
      <c r="K24" s="312"/>
      <c r="L24" s="312"/>
      <c r="M24" s="312"/>
      <c r="N24" s="312"/>
      <c r="O24" s="312"/>
      <c r="P24" s="313"/>
    </row>
    <row r="25" spans="1:16" s="173" customFormat="1" x14ac:dyDescent="0.2">
      <c r="A25" s="174"/>
      <c r="B25" s="311"/>
      <c r="C25" s="312"/>
      <c r="D25" s="312"/>
      <c r="E25" s="312"/>
      <c r="F25" s="312"/>
      <c r="G25" s="312"/>
      <c r="H25" s="312"/>
      <c r="I25" s="312"/>
      <c r="J25" s="312"/>
      <c r="K25" s="312"/>
      <c r="L25" s="312"/>
      <c r="M25" s="312"/>
      <c r="N25" s="312"/>
      <c r="O25" s="312"/>
      <c r="P25" s="313"/>
    </row>
    <row r="26" spans="1:16" s="173" customFormat="1" x14ac:dyDescent="0.2">
      <c r="A26" s="174"/>
      <c r="B26" s="311"/>
      <c r="C26" s="312"/>
      <c r="D26" s="312"/>
      <c r="E26" s="312"/>
      <c r="F26" s="312"/>
      <c r="G26" s="312"/>
      <c r="H26" s="312"/>
      <c r="I26" s="312"/>
      <c r="J26" s="312"/>
      <c r="K26" s="312"/>
      <c r="L26" s="312"/>
      <c r="M26" s="312"/>
      <c r="N26" s="312"/>
      <c r="O26" s="312"/>
      <c r="P26" s="313"/>
    </row>
    <row r="27" spans="1:16" s="173" customFormat="1" x14ac:dyDescent="0.2">
      <c r="A27" s="174"/>
      <c r="B27" s="311"/>
      <c r="C27" s="312"/>
      <c r="D27" s="312"/>
      <c r="E27" s="312"/>
      <c r="F27" s="312"/>
      <c r="G27" s="312"/>
      <c r="H27" s="312"/>
      <c r="I27" s="312"/>
      <c r="J27" s="312"/>
      <c r="K27" s="312"/>
      <c r="L27" s="312"/>
      <c r="M27" s="312"/>
      <c r="N27" s="312"/>
      <c r="O27" s="312"/>
      <c r="P27" s="313"/>
    </row>
    <row r="28" spans="1:16" s="173" customFormat="1" x14ac:dyDescent="0.2">
      <c r="A28" s="174"/>
      <c r="B28" s="311"/>
      <c r="C28" s="312"/>
      <c r="D28" s="312"/>
      <c r="E28" s="312"/>
      <c r="F28" s="312"/>
      <c r="G28" s="312"/>
      <c r="H28" s="312"/>
      <c r="I28" s="312"/>
      <c r="J28" s="312"/>
      <c r="K28" s="312"/>
      <c r="L28" s="312"/>
      <c r="M28" s="312"/>
      <c r="N28" s="312"/>
      <c r="O28" s="312"/>
      <c r="P28" s="313"/>
    </row>
    <row r="29" spans="1:16" s="173" customFormat="1" x14ac:dyDescent="0.2">
      <c r="A29" s="174"/>
      <c r="B29" s="311"/>
      <c r="C29" s="312"/>
      <c r="D29" s="312"/>
      <c r="E29" s="312"/>
      <c r="F29" s="312"/>
      <c r="G29" s="312"/>
      <c r="H29" s="312"/>
      <c r="I29" s="312"/>
      <c r="J29" s="312"/>
      <c r="K29" s="312"/>
      <c r="L29" s="312"/>
      <c r="M29" s="312"/>
      <c r="N29" s="312"/>
      <c r="O29" s="312"/>
      <c r="P29" s="313"/>
    </row>
    <row r="30" spans="1:16" s="173" customFormat="1" x14ac:dyDescent="0.2">
      <c r="A30" s="174"/>
      <c r="B30" s="311"/>
      <c r="C30" s="312"/>
      <c r="D30" s="312"/>
      <c r="E30" s="312"/>
      <c r="F30" s="312"/>
      <c r="G30" s="312"/>
      <c r="H30" s="312"/>
      <c r="I30" s="312"/>
      <c r="J30" s="312"/>
      <c r="K30" s="312"/>
      <c r="L30" s="312"/>
      <c r="M30" s="312"/>
      <c r="N30" s="312"/>
      <c r="O30" s="312"/>
      <c r="P30" s="313"/>
    </row>
    <row r="31" spans="1:16" s="173" customFormat="1" x14ac:dyDescent="0.2">
      <c r="A31" s="174"/>
      <c r="B31" s="314"/>
      <c r="C31" s="315"/>
      <c r="D31" s="315"/>
      <c r="E31" s="315"/>
      <c r="F31" s="315"/>
      <c r="G31" s="315"/>
      <c r="H31" s="315"/>
      <c r="I31" s="315"/>
      <c r="J31" s="315"/>
      <c r="K31" s="315"/>
      <c r="L31" s="315"/>
      <c r="M31" s="315"/>
      <c r="N31" s="315"/>
      <c r="O31" s="315"/>
      <c r="P31" s="316"/>
    </row>
    <row r="32" spans="1:16" s="173" customFormat="1" x14ac:dyDescent="0.2">
      <c r="A32" s="174"/>
      <c r="B32" s="314"/>
      <c r="C32" s="315"/>
      <c r="D32" s="315"/>
      <c r="E32" s="315"/>
      <c r="F32" s="315"/>
      <c r="G32" s="315"/>
      <c r="H32" s="315"/>
      <c r="I32" s="315"/>
      <c r="J32" s="315"/>
      <c r="K32" s="315"/>
      <c r="L32" s="315"/>
      <c r="M32" s="315"/>
      <c r="N32" s="315"/>
      <c r="O32" s="315"/>
      <c r="P32" s="316"/>
    </row>
    <row r="33" spans="1:16" s="173" customFormat="1" x14ac:dyDescent="0.2">
      <c r="A33" s="174"/>
      <c r="B33" s="314"/>
      <c r="C33" s="315"/>
      <c r="D33" s="315"/>
      <c r="E33" s="315"/>
      <c r="F33" s="315"/>
      <c r="G33" s="315"/>
      <c r="H33" s="315"/>
      <c r="I33" s="315"/>
      <c r="J33" s="315"/>
      <c r="K33" s="315"/>
      <c r="L33" s="315"/>
      <c r="M33" s="315"/>
      <c r="N33" s="315"/>
      <c r="O33" s="315"/>
      <c r="P33" s="316"/>
    </row>
    <row r="34" spans="1:16" s="173" customFormat="1" x14ac:dyDescent="0.2">
      <c r="A34" s="174"/>
      <c r="B34" s="314"/>
      <c r="C34" s="315"/>
      <c r="D34" s="315"/>
      <c r="E34" s="315"/>
      <c r="F34" s="315"/>
      <c r="G34" s="315"/>
      <c r="H34" s="315"/>
      <c r="I34" s="315"/>
      <c r="J34" s="315"/>
      <c r="K34" s="315"/>
      <c r="L34" s="315"/>
      <c r="M34" s="315"/>
      <c r="N34" s="315"/>
      <c r="O34" s="315"/>
      <c r="P34" s="316"/>
    </row>
    <row r="35" spans="1:16" s="173" customFormat="1" x14ac:dyDescent="0.2">
      <c r="A35" s="174"/>
      <c r="B35" s="314"/>
      <c r="C35" s="315"/>
      <c r="D35" s="315"/>
      <c r="E35" s="315"/>
      <c r="F35" s="315"/>
      <c r="G35" s="315"/>
      <c r="H35" s="315"/>
      <c r="I35" s="315"/>
      <c r="J35" s="315"/>
      <c r="K35" s="315"/>
      <c r="L35" s="315"/>
      <c r="M35" s="315"/>
      <c r="N35" s="315"/>
      <c r="O35" s="315"/>
      <c r="P35" s="316"/>
    </row>
    <row r="36" spans="1:16" s="173" customFormat="1" x14ac:dyDescent="0.2">
      <c r="A36" s="174"/>
      <c r="B36" s="314"/>
      <c r="C36" s="315"/>
      <c r="D36" s="315"/>
      <c r="E36" s="315"/>
      <c r="F36" s="315"/>
      <c r="G36" s="315"/>
      <c r="H36" s="315"/>
      <c r="I36" s="315"/>
      <c r="J36" s="315"/>
      <c r="K36" s="315"/>
      <c r="L36" s="315"/>
      <c r="M36" s="315"/>
      <c r="N36" s="315"/>
      <c r="O36" s="315"/>
      <c r="P36" s="316"/>
    </row>
    <row r="37" spans="1:16" s="173" customFormat="1" x14ac:dyDescent="0.2">
      <c r="A37" s="174"/>
      <c r="B37" s="314"/>
      <c r="C37" s="315"/>
      <c r="D37" s="315"/>
      <c r="E37" s="315"/>
      <c r="F37" s="315"/>
      <c r="G37" s="315"/>
      <c r="H37" s="315"/>
      <c r="I37" s="315"/>
      <c r="J37" s="315"/>
      <c r="K37" s="315"/>
      <c r="L37" s="315"/>
      <c r="M37" s="315"/>
      <c r="N37" s="315"/>
      <c r="O37" s="315"/>
      <c r="P37" s="316"/>
    </row>
    <row r="38" spans="1:16" s="173" customFormat="1" x14ac:dyDescent="0.2">
      <c r="A38" s="174"/>
      <c r="B38" s="314"/>
      <c r="C38" s="315"/>
      <c r="D38" s="315"/>
      <c r="E38" s="315"/>
      <c r="F38" s="315"/>
      <c r="G38" s="315"/>
      <c r="H38" s="315"/>
      <c r="I38" s="315"/>
      <c r="J38" s="315"/>
      <c r="K38" s="315"/>
      <c r="L38" s="315"/>
      <c r="M38" s="315"/>
      <c r="N38" s="315"/>
      <c r="O38" s="315"/>
      <c r="P38" s="316"/>
    </row>
    <row r="39" spans="1:16" s="173" customFormat="1" x14ac:dyDescent="0.2">
      <c r="A39" s="174"/>
      <c r="B39" s="314"/>
      <c r="C39" s="315"/>
      <c r="D39" s="315"/>
      <c r="E39" s="315"/>
      <c r="F39" s="315"/>
      <c r="G39" s="315"/>
      <c r="H39" s="315"/>
      <c r="I39" s="315"/>
      <c r="J39" s="315"/>
      <c r="K39" s="315"/>
      <c r="L39" s="315"/>
      <c r="M39" s="315"/>
      <c r="N39" s="315"/>
      <c r="O39" s="315"/>
      <c r="P39" s="316"/>
    </row>
    <row r="40" spans="1:16" s="173" customFormat="1" x14ac:dyDescent="0.2">
      <c r="A40" s="174"/>
      <c r="B40" s="314"/>
      <c r="C40" s="315"/>
      <c r="D40" s="315"/>
      <c r="E40" s="315"/>
      <c r="F40" s="315"/>
      <c r="G40" s="315"/>
      <c r="H40" s="315"/>
      <c r="I40" s="315"/>
      <c r="J40" s="315"/>
      <c r="K40" s="315"/>
      <c r="L40" s="315"/>
      <c r="M40" s="315"/>
      <c r="N40" s="315"/>
      <c r="O40" s="315"/>
      <c r="P40" s="316"/>
    </row>
    <row r="41" spans="1:16" s="173" customFormat="1" x14ac:dyDescent="0.2">
      <c r="A41" s="174"/>
      <c r="B41" s="314"/>
      <c r="C41" s="315"/>
      <c r="D41" s="315"/>
      <c r="E41" s="315"/>
      <c r="F41" s="315"/>
      <c r="G41" s="315"/>
      <c r="H41" s="315"/>
      <c r="I41" s="315"/>
      <c r="J41" s="315"/>
      <c r="K41" s="315"/>
      <c r="L41" s="315"/>
      <c r="M41" s="315"/>
      <c r="N41" s="315"/>
      <c r="O41" s="315"/>
      <c r="P41" s="316"/>
    </row>
    <row r="42" spans="1:16" s="173" customFormat="1" x14ac:dyDescent="0.2">
      <c r="A42" s="174"/>
      <c r="B42" s="314"/>
      <c r="C42" s="315"/>
      <c r="D42" s="315"/>
      <c r="E42" s="315"/>
      <c r="F42" s="315"/>
      <c r="G42" s="315"/>
      <c r="H42" s="315"/>
      <c r="I42" s="315"/>
      <c r="J42" s="315"/>
      <c r="K42" s="315"/>
      <c r="L42" s="315"/>
      <c r="M42" s="315"/>
      <c r="N42" s="315"/>
      <c r="O42" s="315"/>
      <c r="P42" s="316"/>
    </row>
    <row r="43" spans="1:16" s="173" customFormat="1" x14ac:dyDescent="0.2">
      <c r="A43" s="174"/>
      <c r="B43" s="314"/>
      <c r="C43" s="315"/>
      <c r="D43" s="315"/>
      <c r="E43" s="315"/>
      <c r="F43" s="315"/>
      <c r="G43" s="315"/>
      <c r="H43" s="315"/>
      <c r="I43" s="315"/>
      <c r="J43" s="315"/>
      <c r="K43" s="315"/>
      <c r="L43" s="315"/>
      <c r="M43" s="315"/>
      <c r="N43" s="315"/>
      <c r="O43" s="315"/>
      <c r="P43" s="316"/>
    </row>
    <row r="44" spans="1:16" s="173" customFormat="1" x14ac:dyDescent="0.2">
      <c r="A44" s="174"/>
      <c r="B44" s="314"/>
      <c r="C44" s="315"/>
      <c r="D44" s="315"/>
      <c r="E44" s="315"/>
      <c r="F44" s="315"/>
      <c r="G44" s="315"/>
      <c r="H44" s="315"/>
      <c r="I44" s="315"/>
      <c r="J44" s="315"/>
      <c r="K44" s="315"/>
      <c r="L44" s="315"/>
      <c r="M44" s="315"/>
      <c r="N44" s="315"/>
      <c r="O44" s="315"/>
      <c r="P44" s="316"/>
    </row>
    <row r="45" spans="1:16" s="173" customFormat="1" ht="13.5" thickBot="1" x14ac:dyDescent="0.25">
      <c r="A45" s="174"/>
      <c r="B45" s="317"/>
      <c r="C45" s="318"/>
      <c r="D45" s="318"/>
      <c r="E45" s="318"/>
      <c r="F45" s="318"/>
      <c r="G45" s="318"/>
      <c r="H45" s="318"/>
      <c r="I45" s="318"/>
      <c r="J45" s="318"/>
      <c r="K45" s="318"/>
      <c r="L45" s="318"/>
      <c r="M45" s="318"/>
      <c r="N45" s="318"/>
      <c r="O45" s="318"/>
      <c r="P45" s="319"/>
    </row>
    <row r="46" spans="1:16" s="173" customFormat="1" ht="14.45" customHeight="1" thickBot="1" x14ac:dyDescent="0.25">
      <c r="A46" s="174"/>
      <c r="B46" s="174"/>
      <c r="C46" s="174"/>
      <c r="D46" s="174"/>
      <c r="E46" s="174"/>
      <c r="F46" s="174"/>
      <c r="G46" s="174"/>
      <c r="H46" s="174"/>
      <c r="I46" s="174"/>
      <c r="J46" s="174"/>
      <c r="K46" s="174"/>
      <c r="L46" s="174"/>
      <c r="M46" s="174"/>
    </row>
    <row r="47" spans="1:16" s="173" customFormat="1" ht="14.45" customHeight="1" x14ac:dyDescent="0.2">
      <c r="A47" s="174"/>
      <c r="B47" s="90" t="s">
        <v>196</v>
      </c>
      <c r="C47" s="91"/>
      <c r="D47" s="91" t="s">
        <v>197</v>
      </c>
      <c r="E47" s="91"/>
      <c r="F47" s="91"/>
      <c r="G47" s="91"/>
      <c r="H47" s="91"/>
      <c r="I47" s="91"/>
      <c r="J47" s="91"/>
      <c r="K47" s="91"/>
      <c r="L47" s="91"/>
      <c r="M47" s="91"/>
      <c r="N47" s="44"/>
      <c r="O47" s="44"/>
      <c r="P47" s="81"/>
    </row>
    <row r="48" spans="1:16" s="173" customFormat="1" ht="13.5" thickBot="1" x14ac:dyDescent="0.25">
      <c r="A48" s="174"/>
      <c r="B48" s="92"/>
      <c r="C48" s="93"/>
      <c r="D48" s="93" t="s">
        <v>198</v>
      </c>
      <c r="E48" s="93"/>
      <c r="F48" s="93"/>
      <c r="G48" s="93"/>
      <c r="H48" s="93"/>
      <c r="I48" s="93"/>
      <c r="J48" s="93"/>
      <c r="K48" s="93"/>
      <c r="L48" s="93"/>
      <c r="M48" s="93"/>
      <c r="N48" s="84"/>
      <c r="O48" s="84"/>
      <c r="P48" s="85"/>
    </row>
    <row r="49" spans="1:13" s="173" customFormat="1" ht="14.45" customHeight="1" x14ac:dyDescent="0.2">
      <c r="A49" s="174"/>
      <c r="B49" s="174"/>
      <c r="C49" s="174"/>
      <c r="D49" s="174"/>
      <c r="E49" s="174"/>
      <c r="F49" s="174"/>
      <c r="G49" s="174"/>
      <c r="H49" s="174"/>
      <c r="I49" s="174"/>
      <c r="J49" s="174"/>
      <c r="K49" s="174"/>
      <c r="L49" s="174"/>
      <c r="M49" s="174"/>
    </row>
    <row r="50" spans="1:13" s="173" customFormat="1" ht="14.45" customHeight="1" x14ac:dyDescent="0.2">
      <c r="A50" s="174"/>
      <c r="B50" s="285" t="s">
        <v>18</v>
      </c>
      <c r="F50" s="174"/>
      <c r="G50" s="174"/>
      <c r="H50" s="174"/>
      <c r="I50" s="174"/>
      <c r="J50" s="174"/>
      <c r="K50" s="174"/>
      <c r="L50" s="174"/>
      <c r="M50" s="174"/>
    </row>
    <row r="51" spans="1:13" s="173" customFormat="1" ht="14.45" customHeight="1" x14ac:dyDescent="0.2">
      <c r="A51" s="174"/>
      <c r="B51" s="403"/>
      <c r="C51" s="403"/>
      <c r="D51" s="403"/>
      <c r="E51" s="403"/>
      <c r="F51" s="174"/>
      <c r="G51" s="174"/>
      <c r="H51" s="174"/>
      <c r="I51" s="174"/>
      <c r="J51" s="174"/>
      <c r="K51" s="174"/>
      <c r="L51" s="174"/>
      <c r="M51" s="174"/>
    </row>
    <row r="52" spans="1:13" ht="13.15" customHeight="1" x14ac:dyDescent="0.2">
      <c r="B52" s="403"/>
      <c r="C52" s="403"/>
      <c r="D52" s="403"/>
      <c r="E52" s="403"/>
    </row>
    <row r="53" spans="1:13" ht="13.15" customHeight="1" x14ac:dyDescent="0.2">
      <c r="B53" s="403"/>
      <c r="C53" s="403"/>
      <c r="D53" s="403"/>
      <c r="E53" s="403"/>
    </row>
  </sheetData>
  <mergeCells count="11">
    <mergeCell ref="B51:E53"/>
    <mergeCell ref="D13:E13"/>
    <mergeCell ref="D12:E12"/>
    <mergeCell ref="D9:E9"/>
    <mergeCell ref="D8:E8"/>
    <mergeCell ref="D11:E11"/>
    <mergeCell ref="B2:P2"/>
    <mergeCell ref="B4:P4"/>
    <mergeCell ref="B5:P5"/>
    <mergeCell ref="D7:E7"/>
    <mergeCell ref="D10:E10"/>
  </mergeCells>
  <dataValidations count="1">
    <dataValidation type="list" allowBlank="1" showInputMessage="1" showErrorMessage="1" sqref="E12 D12" xr:uid="{7277ADB9-1A7E-4571-99DB-6547EFC8714F}">
      <formula1>INDIRECT(D11)</formula1>
    </dataValidation>
  </dataValidations>
  <hyperlinks>
    <hyperlink ref="Q2" location="'Data Requirements'!A1" display="BACK" xr:uid="{CAA6E9A4-71FA-47A9-B88B-414A0231176B}"/>
  </hyperlink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9"/>
  <sheetViews>
    <sheetView zoomScaleNormal="100" workbookViewId="0">
      <selection activeCell="B6" sqref="B6"/>
    </sheetView>
  </sheetViews>
  <sheetFormatPr defaultColWidth="11.42578125" defaultRowHeight="12.75" x14ac:dyDescent="0.2"/>
  <cols>
    <col min="1" max="1" width="2.7109375" style="174" customWidth="1"/>
    <col min="2" max="2" width="8.85546875" style="174" customWidth="1"/>
    <col min="3" max="3" width="12.42578125" style="174" customWidth="1"/>
    <col min="4" max="6" width="14.42578125" style="174" customWidth="1"/>
    <col min="7" max="7" width="12.85546875" style="174" bestFit="1" customWidth="1"/>
    <col min="8" max="28" width="8.7109375" style="174" customWidth="1"/>
    <col min="29" max="29" width="21.28515625" style="174" customWidth="1"/>
    <col min="30" max="30" width="7.7109375" style="174" customWidth="1"/>
    <col min="31" max="16384" width="11.42578125" style="174"/>
  </cols>
  <sheetData>
    <row r="1" spans="1:30" ht="13.5" thickBot="1" x14ac:dyDescent="0.25"/>
    <row r="2" spans="1:30" ht="47.1" customHeight="1" thickBot="1" x14ac:dyDescent="0.25">
      <c r="B2" s="390" t="s">
        <v>199</v>
      </c>
      <c r="C2" s="391"/>
      <c r="D2" s="391"/>
      <c r="E2" s="391"/>
      <c r="F2" s="391"/>
      <c r="G2" s="391"/>
      <c r="H2" s="391"/>
      <c r="I2" s="391"/>
      <c r="J2" s="391"/>
      <c r="K2" s="391"/>
      <c r="L2" s="391"/>
      <c r="M2" s="391"/>
      <c r="N2" s="391"/>
      <c r="O2" s="391"/>
      <c r="P2" s="391"/>
      <c r="Q2" s="391"/>
      <c r="R2" s="391"/>
      <c r="S2" s="391"/>
      <c r="T2" s="391"/>
      <c r="U2" s="391"/>
      <c r="V2" s="391"/>
      <c r="W2" s="391"/>
      <c r="X2" s="391"/>
      <c r="Y2" s="391"/>
      <c r="Z2" s="391"/>
      <c r="AA2" s="391"/>
      <c r="AB2" s="391"/>
      <c r="AC2" s="392"/>
      <c r="AD2" s="240" t="s">
        <v>20</v>
      </c>
    </row>
    <row r="3" spans="1:30" ht="14.45" customHeight="1" thickBot="1" x14ac:dyDescent="0.45">
      <c r="C3" s="176"/>
      <c r="D3" s="176"/>
      <c r="E3" s="176"/>
      <c r="F3" s="176"/>
      <c r="G3" s="176"/>
      <c r="H3" s="176"/>
      <c r="I3" s="176"/>
    </row>
    <row r="4" spans="1:30" s="172" customFormat="1" x14ac:dyDescent="0.2">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7"/>
      <c r="AA4" s="407"/>
      <c r="AB4" s="407"/>
      <c r="AC4" s="408"/>
    </row>
    <row r="5" spans="1:30" s="172" customFormat="1" ht="27.95" customHeight="1" thickBot="1" x14ac:dyDescent="0.25">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0"/>
      <c r="AA5" s="410"/>
      <c r="AB5" s="410"/>
      <c r="AC5" s="411"/>
    </row>
    <row r="6" spans="1:30" s="173" customFormat="1" ht="14.45" customHeight="1" x14ac:dyDescent="0.2">
      <c r="K6" s="175"/>
      <c r="N6" s="172"/>
      <c r="O6" s="172"/>
      <c r="P6" s="172"/>
      <c r="Q6" s="172"/>
      <c r="R6" s="172"/>
    </row>
    <row r="7" spans="1:30" s="173" customFormat="1" ht="14.45" customHeight="1" x14ac:dyDescent="0.2">
      <c r="C7" s="177" t="s">
        <v>107</v>
      </c>
      <c r="D7" s="404">
        <f>Header!$D$4</f>
        <v>0</v>
      </c>
      <c r="E7" s="405"/>
      <c r="F7" s="242"/>
      <c r="G7" s="179"/>
      <c r="N7" s="172"/>
    </row>
    <row r="8" spans="1:30" s="173" customFormat="1" ht="14.45" customHeight="1" x14ac:dyDescent="0.2">
      <c r="C8" s="177" t="s">
        <v>4</v>
      </c>
      <c r="D8" s="404">
        <f>Header!$D$5</f>
        <v>0</v>
      </c>
      <c r="E8" s="405"/>
      <c r="F8" s="242"/>
      <c r="G8" s="179" t="s">
        <v>108</v>
      </c>
    </row>
    <row r="9" spans="1:30" s="173" customFormat="1" ht="14.45" customHeight="1" x14ac:dyDescent="0.2">
      <c r="C9" s="177" t="s">
        <v>5</v>
      </c>
      <c r="D9" s="404">
        <f>Header!$D$6</f>
        <v>0</v>
      </c>
      <c r="E9" s="405"/>
      <c r="F9" s="242"/>
      <c r="G9" s="179"/>
    </row>
    <row r="10" spans="1:30" s="173" customFormat="1" ht="14.45" customHeight="1" x14ac:dyDescent="0.2">
      <c r="C10" s="177" t="s">
        <v>109</v>
      </c>
      <c r="D10" s="404">
        <f>YEAR(Header!$D$11)</f>
        <v>1900</v>
      </c>
      <c r="E10" s="405"/>
      <c r="F10" s="242"/>
      <c r="G10" s="179"/>
    </row>
    <row r="11" spans="1:30" s="173" customFormat="1" ht="14.45" customHeight="1" x14ac:dyDescent="0.2">
      <c r="C11" s="177" t="s">
        <v>14</v>
      </c>
      <c r="D11" s="404">
        <f>Header!$D$15</f>
        <v>0</v>
      </c>
      <c r="E11" s="405"/>
      <c r="F11" s="242"/>
      <c r="G11" s="179"/>
    </row>
    <row r="12" spans="1:30" s="173" customFormat="1" ht="14.45" customHeight="1" x14ac:dyDescent="0.2">
      <c r="C12" s="177" t="s">
        <v>110</v>
      </c>
      <c r="D12" s="384"/>
      <c r="E12" s="386"/>
      <c r="F12" s="242"/>
      <c r="G12" s="179"/>
    </row>
    <row r="13" spans="1:30" s="173" customFormat="1" ht="14.45" customHeight="1" thickBot="1" x14ac:dyDescent="0.25"/>
    <row r="14" spans="1:30" s="173" customFormat="1" ht="14.45" customHeight="1" thickBot="1" x14ac:dyDescent="0.25">
      <c r="A14" s="174"/>
      <c r="B14" s="183"/>
      <c r="C14" s="183"/>
      <c r="D14" s="183"/>
      <c r="E14" s="183"/>
      <c r="F14" s="183"/>
      <c r="G14" s="183"/>
      <c r="H14" s="437" t="s">
        <v>200</v>
      </c>
      <c r="I14" s="438"/>
      <c r="J14" s="439"/>
      <c r="K14" s="440" t="s">
        <v>201</v>
      </c>
      <c r="L14" s="438"/>
      <c r="M14" s="439"/>
      <c r="N14" s="440" t="s">
        <v>202</v>
      </c>
      <c r="O14" s="438"/>
      <c r="P14" s="439"/>
      <c r="Q14" s="440" t="s">
        <v>203</v>
      </c>
      <c r="R14" s="438"/>
      <c r="S14" s="439"/>
      <c r="T14" s="440" t="s">
        <v>204</v>
      </c>
      <c r="U14" s="438"/>
      <c r="V14" s="439"/>
      <c r="W14" s="440" t="s">
        <v>205</v>
      </c>
      <c r="X14" s="438"/>
      <c r="Y14" s="439"/>
      <c r="Z14" s="438" t="s">
        <v>206</v>
      </c>
      <c r="AA14" s="438"/>
      <c r="AB14" s="441"/>
      <c r="AC14" s="434"/>
    </row>
    <row r="15" spans="1:30" s="173" customFormat="1" ht="14.45" customHeight="1" x14ac:dyDescent="0.2">
      <c r="A15" s="174"/>
      <c r="B15" s="422" t="s">
        <v>207</v>
      </c>
      <c r="C15" s="423"/>
      <c r="D15" s="423"/>
      <c r="E15" s="424"/>
      <c r="F15" s="424"/>
      <c r="G15" s="425"/>
      <c r="H15" s="443"/>
      <c r="I15" s="432"/>
      <c r="J15" s="432"/>
      <c r="K15" s="432"/>
      <c r="L15" s="432"/>
      <c r="M15" s="432"/>
      <c r="N15" s="432"/>
      <c r="O15" s="432"/>
      <c r="P15" s="432"/>
      <c r="Q15" s="432"/>
      <c r="R15" s="432"/>
      <c r="S15" s="432"/>
      <c r="T15" s="432"/>
      <c r="U15" s="432"/>
      <c r="V15" s="432"/>
      <c r="W15" s="432"/>
      <c r="X15" s="432"/>
      <c r="Y15" s="432"/>
      <c r="Z15" s="432"/>
      <c r="AA15" s="432"/>
      <c r="AB15" s="442"/>
      <c r="AC15" s="435"/>
    </row>
    <row r="16" spans="1:30" s="173" customFormat="1" ht="14.45" customHeight="1" thickBot="1" x14ac:dyDescent="0.25">
      <c r="A16" s="174"/>
      <c r="B16" s="427" t="s">
        <v>208</v>
      </c>
      <c r="C16" s="428"/>
      <c r="D16" s="428"/>
      <c r="E16" s="429"/>
      <c r="F16" s="429"/>
      <c r="G16" s="430"/>
      <c r="H16" s="431"/>
      <c r="I16" s="426"/>
      <c r="J16" s="426"/>
      <c r="K16" s="426"/>
      <c r="L16" s="426"/>
      <c r="M16" s="426"/>
      <c r="N16" s="426"/>
      <c r="O16" s="426"/>
      <c r="P16" s="426"/>
      <c r="Q16" s="426"/>
      <c r="R16" s="426"/>
      <c r="S16" s="426"/>
      <c r="T16" s="426"/>
      <c r="U16" s="426"/>
      <c r="V16" s="426"/>
      <c r="W16" s="426"/>
      <c r="X16" s="426"/>
      <c r="Y16" s="426"/>
      <c r="Z16" s="426"/>
      <c r="AA16" s="426"/>
      <c r="AB16" s="433"/>
      <c r="AC16" s="435"/>
    </row>
    <row r="17" spans="1:29" s="173" customFormat="1" ht="39" thickBot="1" x14ac:dyDescent="0.25">
      <c r="A17" s="174"/>
      <c r="B17" s="162" t="s">
        <v>209</v>
      </c>
      <c r="C17" s="88" t="s">
        <v>210</v>
      </c>
      <c r="D17" s="88" t="s">
        <v>211</v>
      </c>
      <c r="E17" s="88" t="s">
        <v>212</v>
      </c>
      <c r="F17" s="89" t="s">
        <v>213</v>
      </c>
      <c r="G17" s="89" t="s">
        <v>214</v>
      </c>
      <c r="H17" s="104"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5" t="s">
        <v>216</v>
      </c>
      <c r="Z17" s="105" t="s">
        <v>161</v>
      </c>
      <c r="AA17" s="105" t="s">
        <v>215</v>
      </c>
      <c r="AB17" s="106" t="s">
        <v>216</v>
      </c>
      <c r="AC17" s="436"/>
    </row>
    <row r="18" spans="1:29" s="173" customFormat="1" x14ac:dyDescent="0.2">
      <c r="A18" s="174"/>
      <c r="B18" s="419">
        <f t="shared" ref="B18" si="0">B31-1</f>
        <v>1893</v>
      </c>
      <c r="C18" s="109"/>
      <c r="D18" s="110"/>
      <c r="E18" s="158"/>
      <c r="F18" s="158"/>
      <c r="G18" s="111"/>
      <c r="H18" s="320"/>
      <c r="I18" s="321"/>
      <c r="J18" s="322">
        <f t="shared" ref="J18:J110" si="1">H18+I18</f>
        <v>0</v>
      </c>
      <c r="K18" s="321"/>
      <c r="L18" s="321"/>
      <c r="M18" s="322">
        <f t="shared" ref="M18:M81" si="2">K18+L18</f>
        <v>0</v>
      </c>
      <c r="N18" s="321"/>
      <c r="O18" s="321"/>
      <c r="P18" s="322">
        <f t="shared" ref="P18:P81" si="3">N18+O18</f>
        <v>0</v>
      </c>
      <c r="Q18" s="321"/>
      <c r="R18" s="321"/>
      <c r="S18" s="322">
        <f t="shared" ref="S18:S69" si="4">Q18+R18</f>
        <v>0</v>
      </c>
      <c r="T18" s="321"/>
      <c r="U18" s="321"/>
      <c r="V18" s="322">
        <f t="shared" ref="V18:V56" si="5">T18+U18</f>
        <v>0</v>
      </c>
      <c r="W18" s="321"/>
      <c r="X18" s="321"/>
      <c r="Y18" s="322">
        <f t="shared" ref="Y18:Y43" si="6">W18+X18</f>
        <v>0</v>
      </c>
      <c r="Z18" s="321"/>
      <c r="AA18" s="321"/>
      <c r="AB18" s="323">
        <f t="shared" ref="AB18:AB29" si="7">Z18+AA18</f>
        <v>0</v>
      </c>
      <c r="AC18" s="324"/>
    </row>
    <row r="19" spans="1:29" s="173" customFormat="1" x14ac:dyDescent="0.2">
      <c r="A19" s="174"/>
      <c r="B19" s="419"/>
      <c r="C19" s="109"/>
      <c r="D19" s="110"/>
      <c r="E19" s="158"/>
      <c r="F19" s="158"/>
      <c r="G19" s="111"/>
      <c r="H19" s="325"/>
      <c r="I19" s="326"/>
      <c r="J19" s="327">
        <f t="shared" si="1"/>
        <v>0</v>
      </c>
      <c r="K19" s="326"/>
      <c r="L19" s="326"/>
      <c r="M19" s="328">
        <f t="shared" si="2"/>
        <v>0</v>
      </c>
      <c r="N19" s="326"/>
      <c r="O19" s="326"/>
      <c r="P19" s="328">
        <f t="shared" si="3"/>
        <v>0</v>
      </c>
      <c r="Q19" s="326"/>
      <c r="R19" s="326"/>
      <c r="S19" s="328">
        <f t="shared" si="4"/>
        <v>0</v>
      </c>
      <c r="T19" s="326"/>
      <c r="U19" s="326"/>
      <c r="V19" s="328">
        <f t="shared" si="5"/>
        <v>0</v>
      </c>
      <c r="W19" s="326"/>
      <c r="X19" s="326"/>
      <c r="Y19" s="328">
        <f t="shared" si="6"/>
        <v>0</v>
      </c>
      <c r="Z19" s="326"/>
      <c r="AA19" s="326"/>
      <c r="AB19" s="329">
        <f t="shared" si="7"/>
        <v>0</v>
      </c>
      <c r="AC19" s="330"/>
    </row>
    <row r="20" spans="1:29" s="173" customFormat="1" x14ac:dyDescent="0.2">
      <c r="A20" s="174"/>
      <c r="B20" s="419"/>
      <c r="C20" s="109"/>
      <c r="D20" s="110"/>
      <c r="E20" s="158"/>
      <c r="F20" s="158"/>
      <c r="G20" s="111"/>
      <c r="H20" s="325"/>
      <c r="I20" s="326"/>
      <c r="J20" s="327">
        <f t="shared" si="1"/>
        <v>0</v>
      </c>
      <c r="K20" s="326"/>
      <c r="L20" s="326"/>
      <c r="M20" s="328">
        <f t="shared" si="2"/>
        <v>0</v>
      </c>
      <c r="N20" s="326"/>
      <c r="O20" s="326"/>
      <c r="P20" s="328">
        <f t="shared" si="3"/>
        <v>0</v>
      </c>
      <c r="Q20" s="326"/>
      <c r="R20" s="326"/>
      <c r="S20" s="328">
        <f t="shared" si="4"/>
        <v>0</v>
      </c>
      <c r="T20" s="326"/>
      <c r="U20" s="326"/>
      <c r="V20" s="328">
        <f t="shared" si="5"/>
        <v>0</v>
      </c>
      <c r="W20" s="326"/>
      <c r="X20" s="326"/>
      <c r="Y20" s="328">
        <f t="shared" si="6"/>
        <v>0</v>
      </c>
      <c r="Z20" s="326"/>
      <c r="AA20" s="326"/>
      <c r="AB20" s="329">
        <f t="shared" si="7"/>
        <v>0</v>
      </c>
      <c r="AC20" s="330"/>
    </row>
    <row r="21" spans="1:29" s="173" customFormat="1" x14ac:dyDescent="0.2">
      <c r="A21" s="174"/>
      <c r="B21" s="419"/>
      <c r="C21" s="109"/>
      <c r="D21" s="110"/>
      <c r="E21" s="158"/>
      <c r="F21" s="158"/>
      <c r="G21" s="111"/>
      <c r="H21" s="325"/>
      <c r="I21" s="326"/>
      <c r="J21" s="327">
        <f t="shared" si="1"/>
        <v>0</v>
      </c>
      <c r="K21" s="326"/>
      <c r="L21" s="326"/>
      <c r="M21" s="328">
        <f t="shared" si="2"/>
        <v>0</v>
      </c>
      <c r="N21" s="326"/>
      <c r="O21" s="326"/>
      <c r="P21" s="328">
        <f t="shared" si="3"/>
        <v>0</v>
      </c>
      <c r="Q21" s="326"/>
      <c r="R21" s="326"/>
      <c r="S21" s="328">
        <f t="shared" si="4"/>
        <v>0</v>
      </c>
      <c r="T21" s="326"/>
      <c r="U21" s="326"/>
      <c r="V21" s="328">
        <f t="shared" si="5"/>
        <v>0</v>
      </c>
      <c r="W21" s="326"/>
      <c r="X21" s="326"/>
      <c r="Y21" s="328">
        <f t="shared" si="6"/>
        <v>0</v>
      </c>
      <c r="Z21" s="326"/>
      <c r="AA21" s="326"/>
      <c r="AB21" s="329">
        <f t="shared" si="7"/>
        <v>0</v>
      </c>
      <c r="AC21" s="330"/>
    </row>
    <row r="22" spans="1:29" s="173" customFormat="1" x14ac:dyDescent="0.2">
      <c r="A22" s="174"/>
      <c r="B22" s="419"/>
      <c r="C22" s="109"/>
      <c r="D22" s="110"/>
      <c r="E22" s="158"/>
      <c r="F22" s="158"/>
      <c r="G22" s="111"/>
      <c r="H22" s="325"/>
      <c r="I22" s="326"/>
      <c r="J22" s="327">
        <f t="shared" si="1"/>
        <v>0</v>
      </c>
      <c r="K22" s="326"/>
      <c r="L22" s="326"/>
      <c r="M22" s="328">
        <f t="shared" si="2"/>
        <v>0</v>
      </c>
      <c r="N22" s="326"/>
      <c r="O22" s="326"/>
      <c r="P22" s="328">
        <f t="shared" si="3"/>
        <v>0</v>
      </c>
      <c r="Q22" s="326"/>
      <c r="R22" s="326"/>
      <c r="S22" s="328">
        <f t="shared" si="4"/>
        <v>0</v>
      </c>
      <c r="T22" s="326"/>
      <c r="U22" s="326"/>
      <c r="V22" s="328">
        <f t="shared" si="5"/>
        <v>0</v>
      </c>
      <c r="W22" s="326"/>
      <c r="X22" s="326"/>
      <c r="Y22" s="328">
        <f t="shared" si="6"/>
        <v>0</v>
      </c>
      <c r="Z22" s="326"/>
      <c r="AA22" s="326"/>
      <c r="AB22" s="329">
        <f t="shared" si="7"/>
        <v>0</v>
      </c>
      <c r="AC22" s="330"/>
    </row>
    <row r="23" spans="1:29" s="173" customFormat="1" x14ac:dyDescent="0.2">
      <c r="A23" s="174"/>
      <c r="B23" s="419"/>
      <c r="C23" s="109"/>
      <c r="D23" s="110"/>
      <c r="E23" s="158"/>
      <c r="F23" s="158"/>
      <c r="G23" s="111"/>
      <c r="H23" s="325"/>
      <c r="I23" s="326"/>
      <c r="J23" s="327">
        <f t="shared" si="1"/>
        <v>0</v>
      </c>
      <c r="K23" s="326"/>
      <c r="L23" s="326"/>
      <c r="M23" s="328">
        <f t="shared" si="2"/>
        <v>0</v>
      </c>
      <c r="N23" s="326"/>
      <c r="O23" s="326"/>
      <c r="P23" s="328">
        <f t="shared" si="3"/>
        <v>0</v>
      </c>
      <c r="Q23" s="326"/>
      <c r="R23" s="326"/>
      <c r="S23" s="328">
        <f t="shared" si="4"/>
        <v>0</v>
      </c>
      <c r="T23" s="326"/>
      <c r="U23" s="326"/>
      <c r="V23" s="328">
        <f t="shared" si="5"/>
        <v>0</v>
      </c>
      <c r="W23" s="326"/>
      <c r="X23" s="326"/>
      <c r="Y23" s="328">
        <f t="shared" si="6"/>
        <v>0</v>
      </c>
      <c r="Z23" s="326"/>
      <c r="AA23" s="326"/>
      <c r="AB23" s="329">
        <f t="shared" si="7"/>
        <v>0</v>
      </c>
      <c r="AC23" s="330"/>
    </row>
    <row r="24" spans="1:29" s="173" customFormat="1" x14ac:dyDescent="0.2">
      <c r="A24" s="174"/>
      <c r="B24" s="419"/>
      <c r="C24" s="109"/>
      <c r="D24" s="110"/>
      <c r="E24" s="158"/>
      <c r="F24" s="158"/>
      <c r="G24" s="111"/>
      <c r="H24" s="325"/>
      <c r="I24" s="326"/>
      <c r="J24" s="327">
        <f t="shared" si="1"/>
        <v>0</v>
      </c>
      <c r="K24" s="326"/>
      <c r="L24" s="326"/>
      <c r="M24" s="328">
        <f t="shared" si="2"/>
        <v>0</v>
      </c>
      <c r="N24" s="326"/>
      <c r="O24" s="326"/>
      <c r="P24" s="328">
        <f t="shared" si="3"/>
        <v>0</v>
      </c>
      <c r="Q24" s="326"/>
      <c r="R24" s="326"/>
      <c r="S24" s="328">
        <f t="shared" si="4"/>
        <v>0</v>
      </c>
      <c r="T24" s="326"/>
      <c r="U24" s="326"/>
      <c r="V24" s="328">
        <f t="shared" si="5"/>
        <v>0</v>
      </c>
      <c r="W24" s="326"/>
      <c r="X24" s="326"/>
      <c r="Y24" s="328">
        <f t="shared" si="6"/>
        <v>0</v>
      </c>
      <c r="Z24" s="326"/>
      <c r="AA24" s="326"/>
      <c r="AB24" s="329">
        <f t="shared" si="7"/>
        <v>0</v>
      </c>
      <c r="AC24" s="330"/>
    </row>
    <row r="25" spans="1:29" s="173" customFormat="1" x14ac:dyDescent="0.2">
      <c r="A25" s="174"/>
      <c r="B25" s="420"/>
      <c r="C25" s="112"/>
      <c r="D25" s="113"/>
      <c r="E25" s="159"/>
      <c r="F25" s="159"/>
      <c r="G25" s="114"/>
      <c r="H25" s="331"/>
      <c r="I25" s="332"/>
      <c r="J25" s="327">
        <f t="shared" si="1"/>
        <v>0</v>
      </c>
      <c r="K25" s="332"/>
      <c r="L25" s="332"/>
      <c r="M25" s="327">
        <f t="shared" si="2"/>
        <v>0</v>
      </c>
      <c r="N25" s="332"/>
      <c r="O25" s="332"/>
      <c r="P25" s="327">
        <f t="shared" si="3"/>
        <v>0</v>
      </c>
      <c r="Q25" s="332"/>
      <c r="R25" s="332"/>
      <c r="S25" s="327">
        <f t="shared" si="4"/>
        <v>0</v>
      </c>
      <c r="T25" s="332"/>
      <c r="U25" s="332"/>
      <c r="V25" s="327">
        <f t="shared" si="5"/>
        <v>0</v>
      </c>
      <c r="W25" s="332"/>
      <c r="X25" s="332"/>
      <c r="Y25" s="327">
        <f t="shared" si="6"/>
        <v>0</v>
      </c>
      <c r="Z25" s="332"/>
      <c r="AA25" s="332"/>
      <c r="AB25" s="333">
        <f t="shared" si="7"/>
        <v>0</v>
      </c>
      <c r="AC25" s="330"/>
    </row>
    <row r="26" spans="1:29" s="173" customFormat="1" x14ac:dyDescent="0.2">
      <c r="A26" s="174"/>
      <c r="B26" s="420"/>
      <c r="C26" s="112"/>
      <c r="D26" s="113"/>
      <c r="E26" s="159"/>
      <c r="F26" s="159"/>
      <c r="G26" s="114"/>
      <c r="H26" s="331"/>
      <c r="I26" s="332"/>
      <c r="J26" s="327">
        <f t="shared" si="1"/>
        <v>0</v>
      </c>
      <c r="K26" s="332"/>
      <c r="L26" s="332"/>
      <c r="M26" s="327">
        <f t="shared" si="2"/>
        <v>0</v>
      </c>
      <c r="N26" s="332"/>
      <c r="O26" s="332"/>
      <c r="P26" s="327">
        <f t="shared" si="3"/>
        <v>0</v>
      </c>
      <c r="Q26" s="332"/>
      <c r="R26" s="332"/>
      <c r="S26" s="327">
        <f t="shared" si="4"/>
        <v>0</v>
      </c>
      <c r="T26" s="332"/>
      <c r="U26" s="332"/>
      <c r="V26" s="327">
        <f t="shared" si="5"/>
        <v>0</v>
      </c>
      <c r="W26" s="332"/>
      <c r="X26" s="332"/>
      <c r="Y26" s="327">
        <f t="shared" si="6"/>
        <v>0</v>
      </c>
      <c r="Z26" s="332"/>
      <c r="AA26" s="332"/>
      <c r="AB26" s="333">
        <f t="shared" si="7"/>
        <v>0</v>
      </c>
      <c r="AC26" s="330"/>
    </row>
    <row r="27" spans="1:29" s="173" customFormat="1" x14ac:dyDescent="0.2">
      <c r="A27" s="174"/>
      <c r="B27" s="420"/>
      <c r="C27" s="112"/>
      <c r="D27" s="113"/>
      <c r="E27" s="159"/>
      <c r="F27" s="159"/>
      <c r="G27" s="114"/>
      <c r="H27" s="331"/>
      <c r="I27" s="332"/>
      <c r="J27" s="327">
        <f t="shared" si="1"/>
        <v>0</v>
      </c>
      <c r="K27" s="332"/>
      <c r="L27" s="332"/>
      <c r="M27" s="327">
        <f t="shared" si="2"/>
        <v>0</v>
      </c>
      <c r="N27" s="332"/>
      <c r="O27" s="332"/>
      <c r="P27" s="327">
        <f t="shared" si="3"/>
        <v>0</v>
      </c>
      <c r="Q27" s="332"/>
      <c r="R27" s="332"/>
      <c r="S27" s="327">
        <f t="shared" si="4"/>
        <v>0</v>
      </c>
      <c r="T27" s="332"/>
      <c r="U27" s="332"/>
      <c r="V27" s="327">
        <f t="shared" si="5"/>
        <v>0</v>
      </c>
      <c r="W27" s="332"/>
      <c r="X27" s="332"/>
      <c r="Y27" s="327">
        <f t="shared" si="6"/>
        <v>0</v>
      </c>
      <c r="Z27" s="332"/>
      <c r="AA27" s="332"/>
      <c r="AB27" s="333">
        <f t="shared" si="7"/>
        <v>0</v>
      </c>
      <c r="AC27" s="330"/>
    </row>
    <row r="28" spans="1:29" s="173" customFormat="1" x14ac:dyDescent="0.2">
      <c r="A28" s="174"/>
      <c r="B28" s="420"/>
      <c r="C28" s="112"/>
      <c r="D28" s="113"/>
      <c r="E28" s="159"/>
      <c r="F28" s="159"/>
      <c r="G28" s="114"/>
      <c r="H28" s="331"/>
      <c r="I28" s="332"/>
      <c r="J28" s="327">
        <f t="shared" si="1"/>
        <v>0</v>
      </c>
      <c r="K28" s="332"/>
      <c r="L28" s="332"/>
      <c r="M28" s="327">
        <f t="shared" si="2"/>
        <v>0</v>
      </c>
      <c r="N28" s="332"/>
      <c r="O28" s="332"/>
      <c r="P28" s="327">
        <f t="shared" si="3"/>
        <v>0</v>
      </c>
      <c r="Q28" s="332"/>
      <c r="R28" s="332"/>
      <c r="S28" s="327">
        <f t="shared" si="4"/>
        <v>0</v>
      </c>
      <c r="T28" s="332"/>
      <c r="U28" s="332"/>
      <c r="V28" s="327">
        <f t="shared" si="5"/>
        <v>0</v>
      </c>
      <c r="W28" s="332"/>
      <c r="X28" s="332"/>
      <c r="Y28" s="327">
        <f t="shared" si="6"/>
        <v>0</v>
      </c>
      <c r="Z28" s="332"/>
      <c r="AA28" s="332"/>
      <c r="AB28" s="333">
        <f t="shared" si="7"/>
        <v>0</v>
      </c>
      <c r="AC28" s="330"/>
    </row>
    <row r="29" spans="1:29" x14ac:dyDescent="0.2">
      <c r="B29" s="420"/>
      <c r="C29" s="112"/>
      <c r="D29" s="113"/>
      <c r="E29" s="159"/>
      <c r="F29" s="159"/>
      <c r="G29" s="114"/>
      <c r="H29" s="331"/>
      <c r="I29" s="332"/>
      <c r="J29" s="327">
        <f t="shared" si="1"/>
        <v>0</v>
      </c>
      <c r="K29" s="332"/>
      <c r="L29" s="332"/>
      <c r="M29" s="327">
        <f t="shared" si="2"/>
        <v>0</v>
      </c>
      <c r="N29" s="332"/>
      <c r="O29" s="332"/>
      <c r="P29" s="327">
        <f t="shared" si="3"/>
        <v>0</v>
      </c>
      <c r="Q29" s="332"/>
      <c r="R29" s="332"/>
      <c r="S29" s="327">
        <f t="shared" si="4"/>
        <v>0</v>
      </c>
      <c r="T29" s="332"/>
      <c r="U29" s="332"/>
      <c r="V29" s="327">
        <f t="shared" si="5"/>
        <v>0</v>
      </c>
      <c r="W29" s="332"/>
      <c r="X29" s="332"/>
      <c r="Y29" s="327">
        <f t="shared" si="6"/>
        <v>0</v>
      </c>
      <c r="Z29" s="332"/>
      <c r="AA29" s="332"/>
      <c r="AB29" s="333">
        <f t="shared" si="7"/>
        <v>0</v>
      </c>
      <c r="AC29" s="330"/>
    </row>
    <row r="30" spans="1:29" ht="13.5" thickBot="1" x14ac:dyDescent="0.25">
      <c r="B30" s="421"/>
      <c r="C30" s="375"/>
      <c r="D30" s="115"/>
      <c r="E30" s="160"/>
      <c r="F30" s="160"/>
      <c r="G30" s="116"/>
      <c r="H30" s="334"/>
      <c r="I30" s="335"/>
      <c r="J30" s="336">
        <f t="shared" si="1"/>
        <v>0</v>
      </c>
      <c r="K30" s="335"/>
      <c r="L30" s="335"/>
      <c r="M30" s="336">
        <f t="shared" si="2"/>
        <v>0</v>
      </c>
      <c r="N30" s="335"/>
      <c r="O30" s="335"/>
      <c r="P30" s="336">
        <f t="shared" si="3"/>
        <v>0</v>
      </c>
      <c r="Q30" s="335"/>
      <c r="R30" s="335"/>
      <c r="S30" s="336">
        <f t="shared" si="4"/>
        <v>0</v>
      </c>
      <c r="T30" s="335"/>
      <c r="U30" s="335"/>
      <c r="V30" s="336">
        <f t="shared" si="5"/>
        <v>0</v>
      </c>
      <c r="W30" s="335"/>
      <c r="X30" s="335"/>
      <c r="Y30" s="336">
        <f t="shared" si="6"/>
        <v>0</v>
      </c>
      <c r="Z30" s="335"/>
      <c r="AA30" s="335"/>
      <c r="AB30" s="337">
        <v>0</v>
      </c>
      <c r="AC30" s="330"/>
    </row>
    <row r="31" spans="1:29" x14ac:dyDescent="0.2">
      <c r="B31" s="419">
        <f t="shared" ref="B31" si="8">B44-1</f>
        <v>1894</v>
      </c>
      <c r="C31" s="117"/>
      <c r="D31" s="107"/>
      <c r="E31" s="157"/>
      <c r="F31" s="157"/>
      <c r="G31" s="108"/>
      <c r="H31" s="320"/>
      <c r="I31" s="320"/>
      <c r="J31" s="322">
        <f t="shared" si="1"/>
        <v>0</v>
      </c>
      <c r="K31" s="321"/>
      <c r="L31" s="321"/>
      <c r="M31" s="322">
        <f t="shared" si="2"/>
        <v>0</v>
      </c>
      <c r="N31" s="321"/>
      <c r="O31" s="321"/>
      <c r="P31" s="322">
        <f t="shared" si="3"/>
        <v>0</v>
      </c>
      <c r="Q31" s="321"/>
      <c r="R31" s="321"/>
      <c r="S31" s="322">
        <f t="shared" si="4"/>
        <v>0</v>
      </c>
      <c r="T31" s="321"/>
      <c r="U31" s="321"/>
      <c r="V31" s="322">
        <f t="shared" si="5"/>
        <v>0</v>
      </c>
      <c r="W31" s="321"/>
      <c r="X31" s="321"/>
      <c r="Y31" s="338">
        <f t="shared" si="6"/>
        <v>0</v>
      </c>
      <c r="Z31" s="339"/>
      <c r="AA31" s="339"/>
      <c r="AB31" s="340"/>
      <c r="AC31" s="330"/>
    </row>
    <row r="32" spans="1:29" x14ac:dyDescent="0.2">
      <c r="B32" s="419"/>
      <c r="C32" s="117"/>
      <c r="D32" s="110"/>
      <c r="E32" s="158"/>
      <c r="F32" s="158"/>
      <c r="G32" s="111"/>
      <c r="H32" s="325"/>
      <c r="I32" s="325"/>
      <c r="J32" s="327">
        <f t="shared" si="1"/>
        <v>0</v>
      </c>
      <c r="K32" s="326"/>
      <c r="L32" s="326"/>
      <c r="M32" s="328">
        <f t="shared" si="2"/>
        <v>0</v>
      </c>
      <c r="N32" s="326"/>
      <c r="O32" s="326"/>
      <c r="P32" s="328">
        <f t="shared" si="3"/>
        <v>0</v>
      </c>
      <c r="Q32" s="326"/>
      <c r="R32" s="326"/>
      <c r="S32" s="328">
        <f t="shared" si="4"/>
        <v>0</v>
      </c>
      <c r="T32" s="326"/>
      <c r="U32" s="326"/>
      <c r="V32" s="328">
        <f t="shared" si="5"/>
        <v>0</v>
      </c>
      <c r="W32" s="326"/>
      <c r="X32" s="326"/>
      <c r="Y32" s="338">
        <f t="shared" si="6"/>
        <v>0</v>
      </c>
      <c r="Z32" s="339"/>
      <c r="AA32" s="339"/>
      <c r="AB32" s="340"/>
      <c r="AC32" s="330"/>
    </row>
    <row r="33" spans="2:29" x14ac:dyDescent="0.2">
      <c r="B33" s="419"/>
      <c r="C33" s="117"/>
      <c r="D33" s="110"/>
      <c r="E33" s="158"/>
      <c r="F33" s="158"/>
      <c r="G33" s="111"/>
      <c r="H33" s="325"/>
      <c r="I33" s="325"/>
      <c r="J33" s="327">
        <f t="shared" si="1"/>
        <v>0</v>
      </c>
      <c r="K33" s="326"/>
      <c r="L33" s="326"/>
      <c r="M33" s="328">
        <f t="shared" si="2"/>
        <v>0</v>
      </c>
      <c r="N33" s="326"/>
      <c r="O33" s="326"/>
      <c r="P33" s="328">
        <f t="shared" si="3"/>
        <v>0</v>
      </c>
      <c r="Q33" s="326"/>
      <c r="R33" s="326"/>
      <c r="S33" s="328">
        <f t="shared" si="4"/>
        <v>0</v>
      </c>
      <c r="T33" s="326"/>
      <c r="U33" s="326"/>
      <c r="V33" s="328">
        <f t="shared" si="5"/>
        <v>0</v>
      </c>
      <c r="W33" s="326"/>
      <c r="X33" s="326"/>
      <c r="Y33" s="338">
        <f t="shared" si="6"/>
        <v>0</v>
      </c>
      <c r="Z33" s="339"/>
      <c r="AA33" s="339"/>
      <c r="AB33" s="340"/>
      <c r="AC33" s="330"/>
    </row>
    <row r="34" spans="2:29" x14ac:dyDescent="0.2">
      <c r="B34" s="419"/>
      <c r="C34" s="117"/>
      <c r="D34" s="110"/>
      <c r="E34" s="158"/>
      <c r="F34" s="158"/>
      <c r="G34" s="111"/>
      <c r="H34" s="325"/>
      <c r="I34" s="325"/>
      <c r="J34" s="327">
        <f t="shared" si="1"/>
        <v>0</v>
      </c>
      <c r="K34" s="326"/>
      <c r="L34" s="326"/>
      <c r="M34" s="328">
        <f t="shared" si="2"/>
        <v>0</v>
      </c>
      <c r="N34" s="326"/>
      <c r="O34" s="326"/>
      <c r="P34" s="328">
        <f t="shared" si="3"/>
        <v>0</v>
      </c>
      <c r="Q34" s="326"/>
      <c r="R34" s="326"/>
      <c r="S34" s="328">
        <f t="shared" si="4"/>
        <v>0</v>
      </c>
      <c r="T34" s="326"/>
      <c r="U34" s="326"/>
      <c r="V34" s="328">
        <f t="shared" si="5"/>
        <v>0</v>
      </c>
      <c r="W34" s="326"/>
      <c r="X34" s="326"/>
      <c r="Y34" s="338">
        <f t="shared" si="6"/>
        <v>0</v>
      </c>
      <c r="Z34" s="339"/>
      <c r="AA34" s="339"/>
      <c r="AB34" s="340"/>
      <c r="AC34" s="330"/>
    </row>
    <row r="35" spans="2:29" x14ac:dyDescent="0.2">
      <c r="B35" s="419"/>
      <c r="C35" s="117"/>
      <c r="D35" s="110"/>
      <c r="E35" s="158"/>
      <c r="F35" s="158"/>
      <c r="G35" s="111"/>
      <c r="H35" s="325"/>
      <c r="I35" s="325"/>
      <c r="J35" s="327">
        <f t="shared" si="1"/>
        <v>0</v>
      </c>
      <c r="K35" s="326"/>
      <c r="L35" s="326"/>
      <c r="M35" s="328">
        <f t="shared" si="2"/>
        <v>0</v>
      </c>
      <c r="N35" s="326"/>
      <c r="O35" s="326"/>
      <c r="P35" s="328">
        <f t="shared" si="3"/>
        <v>0</v>
      </c>
      <c r="Q35" s="326"/>
      <c r="R35" s="326"/>
      <c r="S35" s="328">
        <f t="shared" si="4"/>
        <v>0</v>
      </c>
      <c r="T35" s="326"/>
      <c r="U35" s="326"/>
      <c r="V35" s="328">
        <f t="shared" si="5"/>
        <v>0</v>
      </c>
      <c r="W35" s="326"/>
      <c r="X35" s="326"/>
      <c r="Y35" s="338">
        <f t="shared" si="6"/>
        <v>0</v>
      </c>
      <c r="Z35" s="339"/>
      <c r="AA35" s="339"/>
      <c r="AB35" s="340"/>
      <c r="AC35" s="330"/>
    </row>
    <row r="36" spans="2:29" x14ac:dyDescent="0.2">
      <c r="B36" s="419"/>
      <c r="C36" s="117"/>
      <c r="D36" s="110"/>
      <c r="E36" s="158"/>
      <c r="F36" s="158"/>
      <c r="G36" s="111"/>
      <c r="H36" s="325"/>
      <c r="I36" s="325"/>
      <c r="J36" s="327">
        <f t="shared" si="1"/>
        <v>0</v>
      </c>
      <c r="K36" s="326"/>
      <c r="L36" s="326"/>
      <c r="M36" s="328">
        <f t="shared" si="2"/>
        <v>0</v>
      </c>
      <c r="N36" s="326"/>
      <c r="O36" s="326"/>
      <c r="P36" s="328">
        <f t="shared" si="3"/>
        <v>0</v>
      </c>
      <c r="Q36" s="326"/>
      <c r="R36" s="326"/>
      <c r="S36" s="328">
        <f t="shared" si="4"/>
        <v>0</v>
      </c>
      <c r="T36" s="326"/>
      <c r="U36" s="326"/>
      <c r="V36" s="328">
        <f t="shared" si="5"/>
        <v>0</v>
      </c>
      <c r="W36" s="326"/>
      <c r="X36" s="326"/>
      <c r="Y36" s="338">
        <f t="shared" si="6"/>
        <v>0</v>
      </c>
      <c r="Z36" s="339"/>
      <c r="AA36" s="339"/>
      <c r="AB36" s="340"/>
      <c r="AC36" s="330"/>
    </row>
    <row r="37" spans="2:29" x14ac:dyDescent="0.2">
      <c r="B37" s="419"/>
      <c r="C37" s="117"/>
      <c r="D37" s="110"/>
      <c r="E37" s="158"/>
      <c r="F37" s="158"/>
      <c r="G37" s="111"/>
      <c r="H37" s="325"/>
      <c r="I37" s="325"/>
      <c r="J37" s="327">
        <f t="shared" si="1"/>
        <v>0</v>
      </c>
      <c r="K37" s="326"/>
      <c r="L37" s="326"/>
      <c r="M37" s="328">
        <f t="shared" si="2"/>
        <v>0</v>
      </c>
      <c r="N37" s="326"/>
      <c r="O37" s="326"/>
      <c r="P37" s="328">
        <f t="shared" si="3"/>
        <v>0</v>
      </c>
      <c r="Q37" s="326"/>
      <c r="R37" s="326"/>
      <c r="S37" s="328">
        <f t="shared" si="4"/>
        <v>0</v>
      </c>
      <c r="T37" s="326"/>
      <c r="U37" s="326"/>
      <c r="V37" s="328">
        <f t="shared" si="5"/>
        <v>0</v>
      </c>
      <c r="W37" s="326"/>
      <c r="X37" s="326"/>
      <c r="Y37" s="338">
        <f t="shared" si="6"/>
        <v>0</v>
      </c>
      <c r="Z37" s="339"/>
      <c r="AA37" s="339"/>
      <c r="AB37" s="340"/>
      <c r="AC37" s="330"/>
    </row>
    <row r="38" spans="2:29" x14ac:dyDescent="0.2">
      <c r="B38" s="420"/>
      <c r="C38" s="118"/>
      <c r="D38" s="113"/>
      <c r="E38" s="159"/>
      <c r="F38" s="159"/>
      <c r="G38" s="114"/>
      <c r="H38" s="331"/>
      <c r="I38" s="331"/>
      <c r="J38" s="327">
        <f t="shared" si="1"/>
        <v>0</v>
      </c>
      <c r="K38" s="332"/>
      <c r="L38" s="332"/>
      <c r="M38" s="327">
        <f t="shared" si="2"/>
        <v>0</v>
      </c>
      <c r="N38" s="332"/>
      <c r="O38" s="332"/>
      <c r="P38" s="327">
        <f t="shared" si="3"/>
        <v>0</v>
      </c>
      <c r="Q38" s="332"/>
      <c r="R38" s="332"/>
      <c r="S38" s="327">
        <f t="shared" si="4"/>
        <v>0</v>
      </c>
      <c r="T38" s="332"/>
      <c r="U38" s="332"/>
      <c r="V38" s="327">
        <f t="shared" si="5"/>
        <v>0</v>
      </c>
      <c r="W38" s="332"/>
      <c r="X38" s="332"/>
      <c r="Y38" s="341">
        <f t="shared" si="6"/>
        <v>0</v>
      </c>
      <c r="Z38" s="342"/>
      <c r="AA38" s="342"/>
      <c r="AB38" s="343"/>
      <c r="AC38" s="330"/>
    </row>
    <row r="39" spans="2:29" x14ac:dyDescent="0.2">
      <c r="B39" s="420"/>
      <c r="C39" s="118"/>
      <c r="D39" s="113"/>
      <c r="E39" s="159"/>
      <c r="F39" s="159"/>
      <c r="G39" s="114"/>
      <c r="H39" s="331"/>
      <c r="I39" s="331"/>
      <c r="J39" s="327">
        <f t="shared" si="1"/>
        <v>0</v>
      </c>
      <c r="K39" s="332"/>
      <c r="L39" s="332"/>
      <c r="M39" s="327">
        <f t="shared" si="2"/>
        <v>0</v>
      </c>
      <c r="N39" s="332"/>
      <c r="O39" s="332"/>
      <c r="P39" s="327">
        <f t="shared" si="3"/>
        <v>0</v>
      </c>
      <c r="Q39" s="332"/>
      <c r="R39" s="332"/>
      <c r="S39" s="327">
        <f t="shared" si="4"/>
        <v>0</v>
      </c>
      <c r="T39" s="332"/>
      <c r="U39" s="332"/>
      <c r="V39" s="327">
        <f t="shared" si="5"/>
        <v>0</v>
      </c>
      <c r="W39" s="332"/>
      <c r="X39" s="332"/>
      <c r="Y39" s="341">
        <f t="shared" si="6"/>
        <v>0</v>
      </c>
      <c r="Z39" s="342"/>
      <c r="AA39" s="342"/>
      <c r="AB39" s="343"/>
      <c r="AC39" s="330"/>
    </row>
    <row r="40" spans="2:29" x14ac:dyDescent="0.2">
      <c r="B40" s="420"/>
      <c r="C40" s="118"/>
      <c r="D40" s="113"/>
      <c r="E40" s="159"/>
      <c r="F40" s="159"/>
      <c r="G40" s="114"/>
      <c r="H40" s="331"/>
      <c r="I40" s="331"/>
      <c r="J40" s="327">
        <f t="shared" si="1"/>
        <v>0</v>
      </c>
      <c r="K40" s="332"/>
      <c r="L40" s="332"/>
      <c r="M40" s="327">
        <f t="shared" si="2"/>
        <v>0</v>
      </c>
      <c r="N40" s="332"/>
      <c r="O40" s="332"/>
      <c r="P40" s="327">
        <f t="shared" si="3"/>
        <v>0</v>
      </c>
      <c r="Q40" s="332"/>
      <c r="R40" s="332"/>
      <c r="S40" s="327">
        <f t="shared" si="4"/>
        <v>0</v>
      </c>
      <c r="T40" s="332"/>
      <c r="U40" s="332"/>
      <c r="V40" s="327">
        <f t="shared" si="5"/>
        <v>0</v>
      </c>
      <c r="W40" s="332"/>
      <c r="X40" s="332"/>
      <c r="Y40" s="341">
        <f t="shared" si="6"/>
        <v>0</v>
      </c>
      <c r="Z40" s="342"/>
      <c r="AA40" s="342"/>
      <c r="AB40" s="343"/>
      <c r="AC40" s="330"/>
    </row>
    <row r="41" spans="2:29" x14ac:dyDescent="0.2">
      <c r="B41" s="420"/>
      <c r="C41" s="118"/>
      <c r="D41" s="113"/>
      <c r="E41" s="159"/>
      <c r="F41" s="159"/>
      <c r="G41" s="114"/>
      <c r="H41" s="331"/>
      <c r="I41" s="331"/>
      <c r="J41" s="327">
        <f t="shared" si="1"/>
        <v>0</v>
      </c>
      <c r="K41" s="332"/>
      <c r="L41" s="332"/>
      <c r="M41" s="327">
        <f t="shared" si="2"/>
        <v>0</v>
      </c>
      <c r="N41" s="332"/>
      <c r="O41" s="332"/>
      <c r="P41" s="327">
        <f t="shared" si="3"/>
        <v>0</v>
      </c>
      <c r="Q41" s="332"/>
      <c r="R41" s="332"/>
      <c r="S41" s="327">
        <f t="shared" si="4"/>
        <v>0</v>
      </c>
      <c r="T41" s="332"/>
      <c r="U41" s="332"/>
      <c r="V41" s="327">
        <f t="shared" si="5"/>
        <v>0</v>
      </c>
      <c r="W41" s="332"/>
      <c r="X41" s="332"/>
      <c r="Y41" s="341">
        <f t="shared" si="6"/>
        <v>0</v>
      </c>
      <c r="Z41" s="342"/>
      <c r="AA41" s="342"/>
      <c r="AB41" s="343"/>
      <c r="AC41" s="330"/>
    </row>
    <row r="42" spans="2:29" x14ac:dyDescent="0.2">
      <c r="B42" s="420"/>
      <c r="C42" s="118"/>
      <c r="D42" s="113"/>
      <c r="E42" s="159"/>
      <c r="F42" s="159"/>
      <c r="G42" s="114"/>
      <c r="H42" s="331"/>
      <c r="I42" s="331"/>
      <c r="J42" s="327">
        <f t="shared" si="1"/>
        <v>0</v>
      </c>
      <c r="K42" s="332"/>
      <c r="L42" s="332"/>
      <c r="M42" s="327">
        <f t="shared" si="2"/>
        <v>0</v>
      </c>
      <c r="N42" s="332"/>
      <c r="O42" s="332"/>
      <c r="P42" s="327">
        <f t="shared" si="3"/>
        <v>0</v>
      </c>
      <c r="Q42" s="332"/>
      <c r="R42" s="332"/>
      <c r="S42" s="327">
        <f t="shared" si="4"/>
        <v>0</v>
      </c>
      <c r="T42" s="332"/>
      <c r="U42" s="332"/>
      <c r="V42" s="327">
        <f t="shared" si="5"/>
        <v>0</v>
      </c>
      <c r="W42" s="332"/>
      <c r="X42" s="332"/>
      <c r="Y42" s="341">
        <f t="shared" si="6"/>
        <v>0</v>
      </c>
      <c r="Z42" s="342"/>
      <c r="AA42" s="342"/>
      <c r="AB42" s="343"/>
      <c r="AC42" s="330"/>
    </row>
    <row r="43" spans="2:29" ht="13.5" thickBot="1" x14ac:dyDescent="0.25">
      <c r="B43" s="421"/>
      <c r="C43" s="119"/>
      <c r="D43" s="115"/>
      <c r="E43" s="160"/>
      <c r="F43" s="160"/>
      <c r="G43" s="116"/>
      <c r="H43" s="334"/>
      <c r="I43" s="334"/>
      <c r="J43" s="336">
        <f t="shared" si="1"/>
        <v>0</v>
      </c>
      <c r="K43" s="335"/>
      <c r="L43" s="335"/>
      <c r="M43" s="336">
        <f t="shared" si="2"/>
        <v>0</v>
      </c>
      <c r="N43" s="335"/>
      <c r="O43" s="335"/>
      <c r="P43" s="336">
        <f t="shared" si="3"/>
        <v>0</v>
      </c>
      <c r="Q43" s="335"/>
      <c r="R43" s="335"/>
      <c r="S43" s="336">
        <f t="shared" si="4"/>
        <v>0</v>
      </c>
      <c r="T43" s="335"/>
      <c r="U43" s="335"/>
      <c r="V43" s="336">
        <f t="shared" si="5"/>
        <v>0</v>
      </c>
      <c r="W43" s="335"/>
      <c r="X43" s="335"/>
      <c r="Y43" s="344">
        <f t="shared" si="6"/>
        <v>0</v>
      </c>
      <c r="Z43" s="342"/>
      <c r="AA43" s="342"/>
      <c r="AB43" s="343"/>
      <c r="AC43" s="330"/>
    </row>
    <row r="44" spans="2:29" x14ac:dyDescent="0.2">
      <c r="B44" s="418">
        <f t="shared" ref="B44" si="9">B57-1</f>
        <v>1895</v>
      </c>
      <c r="C44" s="120"/>
      <c r="D44" s="107"/>
      <c r="E44" s="157"/>
      <c r="F44" s="157"/>
      <c r="G44" s="108"/>
      <c r="H44" s="320"/>
      <c r="I44" s="320"/>
      <c r="J44" s="322">
        <f t="shared" si="1"/>
        <v>0</v>
      </c>
      <c r="K44" s="321"/>
      <c r="L44" s="321"/>
      <c r="M44" s="322">
        <f t="shared" si="2"/>
        <v>0</v>
      </c>
      <c r="N44" s="321"/>
      <c r="O44" s="321"/>
      <c r="P44" s="322">
        <f t="shared" si="3"/>
        <v>0</v>
      </c>
      <c r="Q44" s="321"/>
      <c r="R44" s="321"/>
      <c r="S44" s="322">
        <f t="shared" si="4"/>
        <v>0</v>
      </c>
      <c r="T44" s="321"/>
      <c r="U44" s="321"/>
      <c r="V44" s="345">
        <f t="shared" si="5"/>
        <v>0</v>
      </c>
      <c r="W44" s="339"/>
      <c r="X44" s="339"/>
      <c r="Y44" s="339"/>
      <c r="Z44" s="339"/>
      <c r="AA44" s="339"/>
      <c r="AB44" s="340"/>
      <c r="AC44" s="330"/>
    </row>
    <row r="45" spans="2:29" x14ac:dyDescent="0.2">
      <c r="B45" s="419"/>
      <c r="C45" s="117"/>
      <c r="D45" s="110"/>
      <c r="E45" s="158"/>
      <c r="F45" s="158"/>
      <c r="G45" s="111"/>
      <c r="H45" s="325"/>
      <c r="I45" s="325"/>
      <c r="J45" s="327">
        <f t="shared" si="1"/>
        <v>0</v>
      </c>
      <c r="K45" s="326"/>
      <c r="L45" s="326"/>
      <c r="M45" s="328">
        <f t="shared" si="2"/>
        <v>0</v>
      </c>
      <c r="N45" s="326"/>
      <c r="O45" s="326"/>
      <c r="P45" s="328">
        <f t="shared" si="3"/>
        <v>0</v>
      </c>
      <c r="Q45" s="326"/>
      <c r="R45" s="326"/>
      <c r="S45" s="328">
        <f t="shared" si="4"/>
        <v>0</v>
      </c>
      <c r="T45" s="326"/>
      <c r="U45" s="326"/>
      <c r="V45" s="338">
        <f t="shared" si="5"/>
        <v>0</v>
      </c>
      <c r="W45" s="339"/>
      <c r="X45" s="339"/>
      <c r="Y45" s="339"/>
      <c r="Z45" s="339"/>
      <c r="AA45" s="339"/>
      <c r="AB45" s="340"/>
      <c r="AC45" s="330"/>
    </row>
    <row r="46" spans="2:29" x14ac:dyDescent="0.2">
      <c r="B46" s="419"/>
      <c r="C46" s="117"/>
      <c r="D46" s="110"/>
      <c r="E46" s="158"/>
      <c r="F46" s="158"/>
      <c r="G46" s="111"/>
      <c r="H46" s="325"/>
      <c r="I46" s="325"/>
      <c r="J46" s="327">
        <f t="shared" si="1"/>
        <v>0</v>
      </c>
      <c r="K46" s="326"/>
      <c r="L46" s="326"/>
      <c r="M46" s="328">
        <f t="shared" si="2"/>
        <v>0</v>
      </c>
      <c r="N46" s="326"/>
      <c r="O46" s="326"/>
      <c r="P46" s="328">
        <f t="shared" si="3"/>
        <v>0</v>
      </c>
      <c r="Q46" s="326"/>
      <c r="R46" s="326"/>
      <c r="S46" s="328">
        <f t="shared" si="4"/>
        <v>0</v>
      </c>
      <c r="T46" s="326"/>
      <c r="U46" s="326"/>
      <c r="V46" s="338">
        <f t="shared" si="5"/>
        <v>0</v>
      </c>
      <c r="W46" s="339"/>
      <c r="X46" s="339"/>
      <c r="Y46" s="339"/>
      <c r="Z46" s="339"/>
      <c r="AA46" s="339"/>
      <c r="AB46" s="340"/>
      <c r="AC46" s="330"/>
    </row>
    <row r="47" spans="2:29" x14ac:dyDescent="0.2">
      <c r="B47" s="419"/>
      <c r="C47" s="117"/>
      <c r="D47" s="110"/>
      <c r="E47" s="158"/>
      <c r="F47" s="158"/>
      <c r="G47" s="111"/>
      <c r="H47" s="325"/>
      <c r="I47" s="325"/>
      <c r="J47" s="327">
        <f t="shared" si="1"/>
        <v>0</v>
      </c>
      <c r="K47" s="326"/>
      <c r="L47" s="326"/>
      <c r="M47" s="328">
        <f t="shared" si="2"/>
        <v>0</v>
      </c>
      <c r="N47" s="326"/>
      <c r="O47" s="326"/>
      <c r="P47" s="328">
        <f t="shared" si="3"/>
        <v>0</v>
      </c>
      <c r="Q47" s="326"/>
      <c r="R47" s="326"/>
      <c r="S47" s="328">
        <f t="shared" si="4"/>
        <v>0</v>
      </c>
      <c r="T47" s="326"/>
      <c r="U47" s="326"/>
      <c r="V47" s="338">
        <f t="shared" si="5"/>
        <v>0</v>
      </c>
      <c r="W47" s="339"/>
      <c r="X47" s="339"/>
      <c r="Y47" s="339"/>
      <c r="Z47" s="339"/>
      <c r="AA47" s="339"/>
      <c r="AB47" s="340"/>
      <c r="AC47" s="330"/>
    </row>
    <row r="48" spans="2:29" x14ac:dyDescent="0.2">
      <c r="B48" s="419"/>
      <c r="C48" s="117"/>
      <c r="D48" s="110"/>
      <c r="E48" s="158"/>
      <c r="F48" s="158"/>
      <c r="G48" s="111"/>
      <c r="H48" s="325"/>
      <c r="I48" s="325"/>
      <c r="J48" s="327">
        <f t="shared" si="1"/>
        <v>0</v>
      </c>
      <c r="K48" s="326"/>
      <c r="L48" s="326"/>
      <c r="M48" s="328">
        <f t="shared" si="2"/>
        <v>0</v>
      </c>
      <c r="N48" s="326"/>
      <c r="O48" s="326"/>
      <c r="P48" s="328">
        <f t="shared" si="3"/>
        <v>0</v>
      </c>
      <c r="Q48" s="326"/>
      <c r="R48" s="326"/>
      <c r="S48" s="328">
        <f t="shared" si="4"/>
        <v>0</v>
      </c>
      <c r="T48" s="326"/>
      <c r="U48" s="326"/>
      <c r="V48" s="338">
        <f t="shared" si="5"/>
        <v>0</v>
      </c>
      <c r="W48" s="339"/>
      <c r="X48" s="339"/>
      <c r="Y48" s="339"/>
      <c r="Z48" s="339"/>
      <c r="AA48" s="339"/>
      <c r="AB48" s="340"/>
      <c r="AC48" s="330"/>
    </row>
    <row r="49" spans="2:29" x14ac:dyDescent="0.2">
      <c r="B49" s="419"/>
      <c r="C49" s="117"/>
      <c r="D49" s="110"/>
      <c r="E49" s="158"/>
      <c r="F49" s="158"/>
      <c r="G49" s="111"/>
      <c r="H49" s="325"/>
      <c r="I49" s="325"/>
      <c r="J49" s="327">
        <f t="shared" si="1"/>
        <v>0</v>
      </c>
      <c r="K49" s="326"/>
      <c r="L49" s="326"/>
      <c r="M49" s="328">
        <f t="shared" si="2"/>
        <v>0</v>
      </c>
      <c r="N49" s="326"/>
      <c r="O49" s="326"/>
      <c r="P49" s="328">
        <f t="shared" si="3"/>
        <v>0</v>
      </c>
      <c r="Q49" s="326"/>
      <c r="R49" s="326"/>
      <c r="S49" s="328">
        <f t="shared" si="4"/>
        <v>0</v>
      </c>
      <c r="T49" s="326"/>
      <c r="U49" s="326"/>
      <c r="V49" s="338">
        <f t="shared" si="5"/>
        <v>0</v>
      </c>
      <c r="W49" s="339"/>
      <c r="X49" s="339"/>
      <c r="Y49" s="339"/>
      <c r="Z49" s="339"/>
      <c r="AA49" s="339"/>
      <c r="AB49" s="340"/>
      <c r="AC49" s="330"/>
    </row>
    <row r="50" spans="2:29" x14ac:dyDescent="0.2">
      <c r="B50" s="419"/>
      <c r="C50" s="117"/>
      <c r="D50" s="110"/>
      <c r="E50" s="158"/>
      <c r="F50" s="158"/>
      <c r="G50" s="111"/>
      <c r="H50" s="325"/>
      <c r="I50" s="325"/>
      <c r="J50" s="327">
        <f t="shared" si="1"/>
        <v>0</v>
      </c>
      <c r="K50" s="326"/>
      <c r="L50" s="326"/>
      <c r="M50" s="328">
        <f t="shared" si="2"/>
        <v>0</v>
      </c>
      <c r="N50" s="326"/>
      <c r="O50" s="326"/>
      <c r="P50" s="328">
        <f t="shared" si="3"/>
        <v>0</v>
      </c>
      <c r="Q50" s="326"/>
      <c r="R50" s="326"/>
      <c r="S50" s="328">
        <f t="shared" si="4"/>
        <v>0</v>
      </c>
      <c r="T50" s="326"/>
      <c r="U50" s="326"/>
      <c r="V50" s="338">
        <f t="shared" si="5"/>
        <v>0</v>
      </c>
      <c r="W50" s="339"/>
      <c r="X50" s="339"/>
      <c r="Y50" s="339"/>
      <c r="Z50" s="339"/>
      <c r="AA50" s="339"/>
      <c r="AB50" s="340"/>
      <c r="AC50" s="330"/>
    </row>
    <row r="51" spans="2:29" x14ac:dyDescent="0.2">
      <c r="B51" s="420"/>
      <c r="C51" s="118"/>
      <c r="D51" s="113"/>
      <c r="E51" s="159"/>
      <c r="F51" s="159"/>
      <c r="G51" s="114"/>
      <c r="H51" s="331"/>
      <c r="I51" s="331"/>
      <c r="J51" s="327">
        <f t="shared" si="1"/>
        <v>0</v>
      </c>
      <c r="K51" s="332"/>
      <c r="L51" s="332"/>
      <c r="M51" s="327">
        <f t="shared" si="2"/>
        <v>0</v>
      </c>
      <c r="N51" s="332"/>
      <c r="O51" s="332"/>
      <c r="P51" s="327">
        <f t="shared" si="3"/>
        <v>0</v>
      </c>
      <c r="Q51" s="332"/>
      <c r="R51" s="332"/>
      <c r="S51" s="327">
        <f t="shared" si="4"/>
        <v>0</v>
      </c>
      <c r="T51" s="332"/>
      <c r="U51" s="332"/>
      <c r="V51" s="341">
        <f t="shared" si="5"/>
        <v>0</v>
      </c>
      <c r="W51" s="342"/>
      <c r="X51" s="342"/>
      <c r="Y51" s="342"/>
      <c r="Z51" s="342"/>
      <c r="AA51" s="342"/>
      <c r="AB51" s="343"/>
      <c r="AC51" s="330"/>
    </row>
    <row r="52" spans="2:29" x14ac:dyDescent="0.2">
      <c r="B52" s="420"/>
      <c r="C52" s="118"/>
      <c r="D52" s="113"/>
      <c r="E52" s="159"/>
      <c r="F52" s="159"/>
      <c r="G52" s="114"/>
      <c r="H52" s="331"/>
      <c r="I52" s="331"/>
      <c r="J52" s="327">
        <f t="shared" si="1"/>
        <v>0</v>
      </c>
      <c r="K52" s="332"/>
      <c r="L52" s="332"/>
      <c r="M52" s="327">
        <f t="shared" si="2"/>
        <v>0</v>
      </c>
      <c r="N52" s="332"/>
      <c r="O52" s="332"/>
      <c r="P52" s="327">
        <f t="shared" si="3"/>
        <v>0</v>
      </c>
      <c r="Q52" s="332"/>
      <c r="R52" s="332"/>
      <c r="S52" s="327">
        <f t="shared" si="4"/>
        <v>0</v>
      </c>
      <c r="T52" s="332"/>
      <c r="U52" s="332"/>
      <c r="V52" s="341">
        <f t="shared" si="5"/>
        <v>0</v>
      </c>
      <c r="W52" s="342"/>
      <c r="X52" s="342"/>
      <c r="Y52" s="342"/>
      <c r="Z52" s="342"/>
      <c r="AA52" s="342"/>
      <c r="AB52" s="343"/>
      <c r="AC52" s="330"/>
    </row>
    <row r="53" spans="2:29" x14ac:dyDescent="0.2">
      <c r="B53" s="420"/>
      <c r="C53" s="118"/>
      <c r="D53" s="113"/>
      <c r="E53" s="159"/>
      <c r="F53" s="159"/>
      <c r="G53" s="114"/>
      <c r="H53" s="331"/>
      <c r="I53" s="331"/>
      <c r="J53" s="327">
        <f t="shared" si="1"/>
        <v>0</v>
      </c>
      <c r="K53" s="332"/>
      <c r="L53" s="332"/>
      <c r="M53" s="327">
        <f t="shared" si="2"/>
        <v>0</v>
      </c>
      <c r="N53" s="332"/>
      <c r="O53" s="332"/>
      <c r="P53" s="327">
        <f t="shared" si="3"/>
        <v>0</v>
      </c>
      <c r="Q53" s="332"/>
      <c r="R53" s="332"/>
      <c r="S53" s="327">
        <f t="shared" si="4"/>
        <v>0</v>
      </c>
      <c r="T53" s="332"/>
      <c r="U53" s="332"/>
      <c r="V53" s="341">
        <f t="shared" si="5"/>
        <v>0</v>
      </c>
      <c r="W53" s="342"/>
      <c r="X53" s="342"/>
      <c r="Y53" s="342"/>
      <c r="Z53" s="342"/>
      <c r="AA53" s="342"/>
      <c r="AB53" s="343"/>
      <c r="AC53" s="330"/>
    </row>
    <row r="54" spans="2:29" x14ac:dyDescent="0.2">
      <c r="B54" s="420"/>
      <c r="C54" s="118"/>
      <c r="D54" s="113"/>
      <c r="E54" s="159"/>
      <c r="F54" s="159"/>
      <c r="G54" s="114"/>
      <c r="H54" s="331"/>
      <c r="I54" s="331"/>
      <c r="J54" s="327">
        <f t="shared" si="1"/>
        <v>0</v>
      </c>
      <c r="K54" s="332"/>
      <c r="L54" s="332"/>
      <c r="M54" s="327">
        <f t="shared" si="2"/>
        <v>0</v>
      </c>
      <c r="N54" s="332"/>
      <c r="O54" s="332"/>
      <c r="P54" s="327">
        <f t="shared" si="3"/>
        <v>0</v>
      </c>
      <c r="Q54" s="332"/>
      <c r="R54" s="332"/>
      <c r="S54" s="327">
        <f t="shared" si="4"/>
        <v>0</v>
      </c>
      <c r="T54" s="332"/>
      <c r="U54" s="332"/>
      <c r="V54" s="341">
        <f t="shared" si="5"/>
        <v>0</v>
      </c>
      <c r="W54" s="342"/>
      <c r="X54" s="342"/>
      <c r="Y54" s="342"/>
      <c r="Z54" s="342"/>
      <c r="AA54" s="342"/>
      <c r="AB54" s="343"/>
      <c r="AC54" s="330"/>
    </row>
    <row r="55" spans="2:29" x14ac:dyDescent="0.2">
      <c r="B55" s="420"/>
      <c r="C55" s="118"/>
      <c r="D55" s="113"/>
      <c r="E55" s="159"/>
      <c r="F55" s="159"/>
      <c r="G55" s="114"/>
      <c r="H55" s="331"/>
      <c r="I55" s="331"/>
      <c r="J55" s="327">
        <f t="shared" si="1"/>
        <v>0</v>
      </c>
      <c r="K55" s="332"/>
      <c r="L55" s="332"/>
      <c r="M55" s="327">
        <f t="shared" si="2"/>
        <v>0</v>
      </c>
      <c r="N55" s="332"/>
      <c r="O55" s="332"/>
      <c r="P55" s="327">
        <f t="shared" si="3"/>
        <v>0</v>
      </c>
      <c r="Q55" s="332"/>
      <c r="R55" s="332"/>
      <c r="S55" s="327">
        <f t="shared" si="4"/>
        <v>0</v>
      </c>
      <c r="T55" s="332"/>
      <c r="U55" s="332"/>
      <c r="V55" s="341">
        <f t="shared" si="5"/>
        <v>0</v>
      </c>
      <c r="W55" s="342"/>
      <c r="X55" s="342"/>
      <c r="Y55" s="342"/>
      <c r="Z55" s="342"/>
      <c r="AA55" s="342"/>
      <c r="AB55" s="343"/>
      <c r="AC55" s="330"/>
    </row>
    <row r="56" spans="2:29" ht="13.5" thickBot="1" x14ac:dyDescent="0.25">
      <c r="B56" s="421"/>
      <c r="C56" s="121"/>
      <c r="D56" s="122"/>
      <c r="E56" s="161"/>
      <c r="F56" s="161"/>
      <c r="G56" s="123"/>
      <c r="H56" s="346"/>
      <c r="I56" s="346"/>
      <c r="J56" s="347">
        <f t="shared" si="1"/>
        <v>0</v>
      </c>
      <c r="K56" s="348"/>
      <c r="L56" s="348"/>
      <c r="M56" s="347">
        <f t="shared" si="2"/>
        <v>0</v>
      </c>
      <c r="N56" s="348"/>
      <c r="O56" s="348"/>
      <c r="P56" s="347">
        <f t="shared" si="3"/>
        <v>0</v>
      </c>
      <c r="Q56" s="348"/>
      <c r="R56" s="348"/>
      <c r="S56" s="347">
        <f t="shared" si="4"/>
        <v>0</v>
      </c>
      <c r="T56" s="348"/>
      <c r="U56" s="348"/>
      <c r="V56" s="349">
        <f t="shared" si="5"/>
        <v>0</v>
      </c>
      <c r="W56" s="342"/>
      <c r="X56" s="342"/>
      <c r="Y56" s="342"/>
      <c r="Z56" s="342"/>
      <c r="AA56" s="342"/>
      <c r="AB56" s="343"/>
      <c r="AC56" s="330"/>
    </row>
    <row r="57" spans="2:29" x14ac:dyDescent="0.2">
      <c r="B57" s="418">
        <f t="shared" ref="B57" si="10">B70-1</f>
        <v>1896</v>
      </c>
      <c r="C57" s="120"/>
      <c r="D57" s="107"/>
      <c r="E57" s="157"/>
      <c r="F57" s="157"/>
      <c r="G57" s="108"/>
      <c r="H57" s="320"/>
      <c r="I57" s="320"/>
      <c r="J57" s="322">
        <f t="shared" si="1"/>
        <v>0</v>
      </c>
      <c r="K57" s="321"/>
      <c r="L57" s="321"/>
      <c r="M57" s="322">
        <f t="shared" si="2"/>
        <v>0</v>
      </c>
      <c r="N57" s="321"/>
      <c r="O57" s="321"/>
      <c r="P57" s="322">
        <f t="shared" si="3"/>
        <v>0</v>
      </c>
      <c r="Q57" s="321"/>
      <c r="R57" s="321"/>
      <c r="S57" s="345">
        <f t="shared" si="4"/>
        <v>0</v>
      </c>
      <c r="T57" s="339"/>
      <c r="U57" s="339"/>
      <c r="V57" s="339"/>
      <c r="W57" s="339"/>
      <c r="X57" s="339"/>
      <c r="Y57" s="339"/>
      <c r="Z57" s="339"/>
      <c r="AA57" s="339"/>
      <c r="AB57" s="340"/>
      <c r="AC57" s="330"/>
    </row>
    <row r="58" spans="2:29" x14ac:dyDescent="0.2">
      <c r="B58" s="419"/>
      <c r="C58" s="117"/>
      <c r="D58" s="110"/>
      <c r="E58" s="158"/>
      <c r="F58" s="158"/>
      <c r="G58" s="111"/>
      <c r="H58" s="325"/>
      <c r="I58" s="325"/>
      <c r="J58" s="327">
        <f t="shared" si="1"/>
        <v>0</v>
      </c>
      <c r="K58" s="326"/>
      <c r="L58" s="326"/>
      <c r="M58" s="328">
        <f t="shared" si="2"/>
        <v>0</v>
      </c>
      <c r="N58" s="326"/>
      <c r="O58" s="326"/>
      <c r="P58" s="328">
        <f t="shared" si="3"/>
        <v>0</v>
      </c>
      <c r="Q58" s="326"/>
      <c r="R58" s="326"/>
      <c r="S58" s="338">
        <f t="shared" si="4"/>
        <v>0</v>
      </c>
      <c r="T58" s="339"/>
      <c r="U58" s="339"/>
      <c r="V58" s="339"/>
      <c r="W58" s="339"/>
      <c r="X58" s="339"/>
      <c r="Y58" s="339"/>
      <c r="Z58" s="339"/>
      <c r="AA58" s="339"/>
      <c r="AB58" s="340"/>
      <c r="AC58" s="330"/>
    </row>
    <row r="59" spans="2:29" x14ac:dyDescent="0.2">
      <c r="B59" s="419"/>
      <c r="C59" s="117"/>
      <c r="D59" s="110"/>
      <c r="E59" s="158"/>
      <c r="F59" s="158"/>
      <c r="G59" s="111"/>
      <c r="H59" s="325"/>
      <c r="I59" s="325"/>
      <c r="J59" s="327">
        <f t="shared" si="1"/>
        <v>0</v>
      </c>
      <c r="K59" s="326"/>
      <c r="L59" s="326"/>
      <c r="M59" s="328">
        <f t="shared" si="2"/>
        <v>0</v>
      </c>
      <c r="N59" s="326"/>
      <c r="O59" s="326"/>
      <c r="P59" s="328">
        <f t="shared" si="3"/>
        <v>0</v>
      </c>
      <c r="Q59" s="326"/>
      <c r="R59" s="326"/>
      <c r="S59" s="338">
        <f t="shared" si="4"/>
        <v>0</v>
      </c>
      <c r="T59" s="339"/>
      <c r="U59" s="339"/>
      <c r="V59" s="339"/>
      <c r="W59" s="339"/>
      <c r="X59" s="339"/>
      <c r="Y59" s="339"/>
      <c r="Z59" s="339"/>
      <c r="AA59" s="339"/>
      <c r="AB59" s="340"/>
      <c r="AC59" s="330"/>
    </row>
    <row r="60" spans="2:29" x14ac:dyDescent="0.2">
      <c r="B60" s="419"/>
      <c r="C60" s="117"/>
      <c r="D60" s="110"/>
      <c r="E60" s="158"/>
      <c r="F60" s="158"/>
      <c r="G60" s="111"/>
      <c r="H60" s="325"/>
      <c r="I60" s="325"/>
      <c r="J60" s="327">
        <f t="shared" si="1"/>
        <v>0</v>
      </c>
      <c r="K60" s="326"/>
      <c r="L60" s="326"/>
      <c r="M60" s="328">
        <f t="shared" si="2"/>
        <v>0</v>
      </c>
      <c r="N60" s="326"/>
      <c r="O60" s="326"/>
      <c r="P60" s="328">
        <f t="shared" si="3"/>
        <v>0</v>
      </c>
      <c r="Q60" s="326"/>
      <c r="R60" s="326"/>
      <c r="S60" s="338">
        <f t="shared" si="4"/>
        <v>0</v>
      </c>
      <c r="T60" s="339"/>
      <c r="U60" s="339"/>
      <c r="V60" s="339"/>
      <c r="W60" s="339"/>
      <c r="X60" s="339"/>
      <c r="Y60" s="339"/>
      <c r="Z60" s="339"/>
      <c r="AA60" s="339"/>
      <c r="AB60" s="340"/>
      <c r="AC60" s="330"/>
    </row>
    <row r="61" spans="2:29" x14ac:dyDescent="0.2">
      <c r="B61" s="419"/>
      <c r="C61" s="117"/>
      <c r="D61" s="110"/>
      <c r="E61" s="158"/>
      <c r="F61" s="158"/>
      <c r="G61" s="111"/>
      <c r="H61" s="325"/>
      <c r="I61" s="325"/>
      <c r="J61" s="327">
        <f t="shared" si="1"/>
        <v>0</v>
      </c>
      <c r="K61" s="326"/>
      <c r="L61" s="326"/>
      <c r="M61" s="328">
        <f t="shared" si="2"/>
        <v>0</v>
      </c>
      <c r="N61" s="326"/>
      <c r="O61" s="326"/>
      <c r="P61" s="328">
        <f t="shared" si="3"/>
        <v>0</v>
      </c>
      <c r="Q61" s="326"/>
      <c r="R61" s="326"/>
      <c r="S61" s="338">
        <f t="shared" si="4"/>
        <v>0</v>
      </c>
      <c r="T61" s="339"/>
      <c r="U61" s="339"/>
      <c r="V61" s="339"/>
      <c r="W61" s="339"/>
      <c r="X61" s="339"/>
      <c r="Y61" s="339"/>
      <c r="Z61" s="339"/>
      <c r="AA61" s="339"/>
      <c r="AB61" s="340"/>
      <c r="AC61" s="330"/>
    </row>
    <row r="62" spans="2:29" x14ac:dyDescent="0.2">
      <c r="B62" s="419"/>
      <c r="C62" s="117"/>
      <c r="D62" s="110"/>
      <c r="E62" s="158"/>
      <c r="F62" s="158"/>
      <c r="G62" s="111"/>
      <c r="H62" s="325"/>
      <c r="I62" s="325"/>
      <c r="J62" s="327">
        <f t="shared" si="1"/>
        <v>0</v>
      </c>
      <c r="K62" s="326"/>
      <c r="L62" s="326"/>
      <c r="M62" s="328">
        <f t="shared" si="2"/>
        <v>0</v>
      </c>
      <c r="N62" s="326"/>
      <c r="O62" s="326"/>
      <c r="P62" s="328">
        <f t="shared" si="3"/>
        <v>0</v>
      </c>
      <c r="Q62" s="326"/>
      <c r="R62" s="326"/>
      <c r="S62" s="338">
        <f t="shared" si="4"/>
        <v>0</v>
      </c>
      <c r="T62" s="339"/>
      <c r="U62" s="339"/>
      <c r="V62" s="339"/>
      <c r="W62" s="339"/>
      <c r="X62" s="339"/>
      <c r="Y62" s="339"/>
      <c r="Z62" s="339"/>
      <c r="AA62" s="339"/>
      <c r="AB62" s="340"/>
      <c r="AC62" s="330"/>
    </row>
    <row r="63" spans="2:29" x14ac:dyDescent="0.2">
      <c r="B63" s="419"/>
      <c r="C63" s="117"/>
      <c r="D63" s="110"/>
      <c r="E63" s="158"/>
      <c r="F63" s="158"/>
      <c r="G63" s="111"/>
      <c r="H63" s="325"/>
      <c r="I63" s="325"/>
      <c r="J63" s="327">
        <f t="shared" si="1"/>
        <v>0</v>
      </c>
      <c r="K63" s="326"/>
      <c r="L63" s="326"/>
      <c r="M63" s="328">
        <f t="shared" si="2"/>
        <v>0</v>
      </c>
      <c r="N63" s="326"/>
      <c r="O63" s="326"/>
      <c r="P63" s="328">
        <f t="shared" si="3"/>
        <v>0</v>
      </c>
      <c r="Q63" s="326"/>
      <c r="R63" s="326"/>
      <c r="S63" s="338">
        <f t="shared" si="4"/>
        <v>0</v>
      </c>
      <c r="T63" s="339"/>
      <c r="U63" s="339"/>
      <c r="V63" s="339"/>
      <c r="W63" s="339"/>
      <c r="X63" s="339"/>
      <c r="Y63" s="339"/>
      <c r="Z63" s="339"/>
      <c r="AA63" s="339"/>
      <c r="AB63" s="340"/>
      <c r="AC63" s="330"/>
    </row>
    <row r="64" spans="2:29" x14ac:dyDescent="0.2">
      <c r="B64" s="420"/>
      <c r="C64" s="118"/>
      <c r="D64" s="113"/>
      <c r="E64" s="159"/>
      <c r="F64" s="159"/>
      <c r="G64" s="114"/>
      <c r="H64" s="331"/>
      <c r="I64" s="331"/>
      <c r="J64" s="327">
        <f t="shared" si="1"/>
        <v>0</v>
      </c>
      <c r="K64" s="332"/>
      <c r="L64" s="332"/>
      <c r="M64" s="327">
        <f t="shared" si="2"/>
        <v>0</v>
      </c>
      <c r="N64" s="332"/>
      <c r="O64" s="332"/>
      <c r="P64" s="327">
        <f t="shared" si="3"/>
        <v>0</v>
      </c>
      <c r="Q64" s="332"/>
      <c r="R64" s="332"/>
      <c r="S64" s="341">
        <f t="shared" si="4"/>
        <v>0</v>
      </c>
      <c r="T64" s="342"/>
      <c r="U64" s="342"/>
      <c r="V64" s="342"/>
      <c r="W64" s="342"/>
      <c r="X64" s="342"/>
      <c r="Y64" s="342"/>
      <c r="Z64" s="342"/>
      <c r="AA64" s="342"/>
      <c r="AB64" s="343"/>
      <c r="AC64" s="330"/>
    </row>
    <row r="65" spans="2:29" x14ac:dyDescent="0.2">
      <c r="B65" s="420"/>
      <c r="C65" s="118"/>
      <c r="D65" s="113"/>
      <c r="E65" s="159"/>
      <c r="F65" s="159"/>
      <c r="G65" s="114"/>
      <c r="H65" s="331"/>
      <c r="I65" s="331"/>
      <c r="J65" s="327">
        <f t="shared" si="1"/>
        <v>0</v>
      </c>
      <c r="K65" s="332"/>
      <c r="L65" s="332"/>
      <c r="M65" s="327">
        <f t="shared" si="2"/>
        <v>0</v>
      </c>
      <c r="N65" s="332"/>
      <c r="O65" s="332"/>
      <c r="P65" s="327">
        <f t="shared" si="3"/>
        <v>0</v>
      </c>
      <c r="Q65" s="332"/>
      <c r="R65" s="332"/>
      <c r="S65" s="341">
        <f t="shared" si="4"/>
        <v>0</v>
      </c>
      <c r="T65" s="342"/>
      <c r="U65" s="342"/>
      <c r="V65" s="342"/>
      <c r="W65" s="342"/>
      <c r="X65" s="342"/>
      <c r="Y65" s="342"/>
      <c r="Z65" s="342"/>
      <c r="AA65" s="342"/>
      <c r="AB65" s="343"/>
      <c r="AC65" s="330"/>
    </row>
    <row r="66" spans="2:29" x14ac:dyDescent="0.2">
      <c r="B66" s="420"/>
      <c r="C66" s="118"/>
      <c r="D66" s="113"/>
      <c r="E66" s="159"/>
      <c r="F66" s="159"/>
      <c r="G66" s="114"/>
      <c r="H66" s="331"/>
      <c r="I66" s="331"/>
      <c r="J66" s="327">
        <f t="shared" si="1"/>
        <v>0</v>
      </c>
      <c r="K66" s="332"/>
      <c r="L66" s="332"/>
      <c r="M66" s="327">
        <f t="shared" si="2"/>
        <v>0</v>
      </c>
      <c r="N66" s="332"/>
      <c r="O66" s="332"/>
      <c r="P66" s="327">
        <f t="shared" si="3"/>
        <v>0</v>
      </c>
      <c r="Q66" s="332"/>
      <c r="R66" s="332"/>
      <c r="S66" s="341">
        <f t="shared" si="4"/>
        <v>0</v>
      </c>
      <c r="T66" s="342"/>
      <c r="U66" s="342"/>
      <c r="V66" s="342"/>
      <c r="W66" s="342"/>
      <c r="X66" s="342"/>
      <c r="Y66" s="342"/>
      <c r="Z66" s="342"/>
      <c r="AA66" s="342"/>
      <c r="AB66" s="343"/>
      <c r="AC66" s="330"/>
    </row>
    <row r="67" spans="2:29" x14ac:dyDescent="0.2">
      <c r="B67" s="420"/>
      <c r="C67" s="118"/>
      <c r="D67" s="113"/>
      <c r="E67" s="159"/>
      <c r="F67" s="159"/>
      <c r="G67" s="114"/>
      <c r="H67" s="331"/>
      <c r="I67" s="331"/>
      <c r="J67" s="327">
        <f t="shared" si="1"/>
        <v>0</v>
      </c>
      <c r="K67" s="332"/>
      <c r="L67" s="332"/>
      <c r="M67" s="327">
        <f t="shared" si="2"/>
        <v>0</v>
      </c>
      <c r="N67" s="332"/>
      <c r="O67" s="332"/>
      <c r="P67" s="327">
        <f t="shared" si="3"/>
        <v>0</v>
      </c>
      <c r="Q67" s="332"/>
      <c r="R67" s="332"/>
      <c r="S67" s="341">
        <f t="shared" si="4"/>
        <v>0</v>
      </c>
      <c r="T67" s="342"/>
      <c r="U67" s="342"/>
      <c r="V67" s="342"/>
      <c r="W67" s="342"/>
      <c r="X67" s="342"/>
      <c r="Y67" s="342"/>
      <c r="Z67" s="342"/>
      <c r="AA67" s="342"/>
      <c r="AB67" s="343"/>
      <c r="AC67" s="330"/>
    </row>
    <row r="68" spans="2:29" x14ac:dyDescent="0.2">
      <c r="B68" s="420"/>
      <c r="C68" s="118"/>
      <c r="D68" s="113"/>
      <c r="E68" s="159"/>
      <c r="F68" s="159"/>
      <c r="G68" s="114"/>
      <c r="H68" s="331"/>
      <c r="I68" s="331"/>
      <c r="J68" s="327">
        <f t="shared" si="1"/>
        <v>0</v>
      </c>
      <c r="K68" s="332"/>
      <c r="L68" s="332"/>
      <c r="M68" s="327">
        <f t="shared" si="2"/>
        <v>0</v>
      </c>
      <c r="N68" s="332"/>
      <c r="O68" s="332"/>
      <c r="P68" s="327">
        <f t="shared" si="3"/>
        <v>0</v>
      </c>
      <c r="Q68" s="332"/>
      <c r="R68" s="332"/>
      <c r="S68" s="341">
        <f t="shared" si="4"/>
        <v>0</v>
      </c>
      <c r="T68" s="342"/>
      <c r="U68" s="342"/>
      <c r="V68" s="342"/>
      <c r="W68" s="342"/>
      <c r="X68" s="342"/>
      <c r="Y68" s="342"/>
      <c r="Z68" s="342"/>
      <c r="AA68" s="342"/>
      <c r="AB68" s="343"/>
      <c r="AC68" s="330"/>
    </row>
    <row r="69" spans="2:29" ht="13.5" thickBot="1" x14ac:dyDescent="0.25">
      <c r="B69" s="421"/>
      <c r="C69" s="119"/>
      <c r="D69" s="115"/>
      <c r="E69" s="160"/>
      <c r="F69" s="160"/>
      <c r="G69" s="116"/>
      <c r="H69" s="334"/>
      <c r="I69" s="334"/>
      <c r="J69" s="336">
        <f t="shared" si="1"/>
        <v>0</v>
      </c>
      <c r="K69" s="335"/>
      <c r="L69" s="335"/>
      <c r="M69" s="336">
        <f t="shared" si="2"/>
        <v>0</v>
      </c>
      <c r="N69" s="335"/>
      <c r="O69" s="335"/>
      <c r="P69" s="336">
        <f t="shared" si="3"/>
        <v>0</v>
      </c>
      <c r="Q69" s="335"/>
      <c r="R69" s="335"/>
      <c r="S69" s="344">
        <f t="shared" si="4"/>
        <v>0</v>
      </c>
      <c r="T69" s="342"/>
      <c r="U69" s="342"/>
      <c r="V69" s="342"/>
      <c r="W69" s="342"/>
      <c r="X69" s="342"/>
      <c r="Y69" s="342"/>
      <c r="Z69" s="342"/>
      <c r="AA69" s="342"/>
      <c r="AB69" s="343"/>
      <c r="AC69" s="330"/>
    </row>
    <row r="70" spans="2:29" x14ac:dyDescent="0.2">
      <c r="B70" s="418">
        <f>B83-1</f>
        <v>1897</v>
      </c>
      <c r="C70" s="120"/>
      <c r="D70" s="107"/>
      <c r="E70" s="157"/>
      <c r="F70" s="157"/>
      <c r="G70" s="108"/>
      <c r="H70" s="320"/>
      <c r="I70" s="320"/>
      <c r="J70" s="322">
        <f t="shared" si="1"/>
        <v>0</v>
      </c>
      <c r="K70" s="321"/>
      <c r="L70" s="321"/>
      <c r="M70" s="322">
        <f t="shared" si="2"/>
        <v>0</v>
      </c>
      <c r="N70" s="321"/>
      <c r="O70" s="321"/>
      <c r="P70" s="345">
        <f t="shared" si="3"/>
        <v>0</v>
      </c>
      <c r="Q70" s="339"/>
      <c r="R70" s="339"/>
      <c r="S70" s="339"/>
      <c r="T70" s="339"/>
      <c r="U70" s="339"/>
      <c r="V70" s="339"/>
      <c r="W70" s="339"/>
      <c r="X70" s="339"/>
      <c r="Y70" s="339"/>
      <c r="Z70" s="339"/>
      <c r="AA70" s="339"/>
      <c r="AB70" s="340"/>
      <c r="AC70" s="330"/>
    </row>
    <row r="71" spans="2:29" x14ac:dyDescent="0.2">
      <c r="B71" s="419"/>
      <c r="C71" s="117"/>
      <c r="D71" s="110"/>
      <c r="E71" s="158"/>
      <c r="F71" s="158"/>
      <c r="G71" s="111"/>
      <c r="H71" s="325"/>
      <c r="I71" s="325"/>
      <c r="J71" s="327">
        <f t="shared" si="1"/>
        <v>0</v>
      </c>
      <c r="K71" s="326"/>
      <c r="L71" s="326"/>
      <c r="M71" s="328">
        <f t="shared" si="2"/>
        <v>0</v>
      </c>
      <c r="N71" s="326"/>
      <c r="O71" s="326"/>
      <c r="P71" s="338">
        <f t="shared" si="3"/>
        <v>0</v>
      </c>
      <c r="Q71" s="339"/>
      <c r="R71" s="339"/>
      <c r="S71" s="339"/>
      <c r="T71" s="339"/>
      <c r="U71" s="339"/>
      <c r="V71" s="339"/>
      <c r="W71" s="339"/>
      <c r="X71" s="339"/>
      <c r="Y71" s="339"/>
      <c r="Z71" s="339"/>
      <c r="AA71" s="339"/>
      <c r="AB71" s="340"/>
      <c r="AC71" s="330"/>
    </row>
    <row r="72" spans="2:29" x14ac:dyDescent="0.2">
      <c r="B72" s="419"/>
      <c r="C72" s="117"/>
      <c r="D72" s="110"/>
      <c r="E72" s="158"/>
      <c r="F72" s="158"/>
      <c r="G72" s="111"/>
      <c r="H72" s="325"/>
      <c r="I72" s="325"/>
      <c r="J72" s="327">
        <f t="shared" si="1"/>
        <v>0</v>
      </c>
      <c r="K72" s="326"/>
      <c r="L72" s="326"/>
      <c r="M72" s="328">
        <f t="shared" si="2"/>
        <v>0</v>
      </c>
      <c r="N72" s="326"/>
      <c r="O72" s="326"/>
      <c r="P72" s="338">
        <f t="shared" si="3"/>
        <v>0</v>
      </c>
      <c r="Q72" s="339"/>
      <c r="R72" s="339"/>
      <c r="S72" s="339"/>
      <c r="T72" s="339"/>
      <c r="U72" s="339"/>
      <c r="V72" s="339"/>
      <c r="W72" s="339"/>
      <c r="X72" s="339"/>
      <c r="Y72" s="339"/>
      <c r="Z72" s="339"/>
      <c r="AA72" s="339"/>
      <c r="AB72" s="340"/>
      <c r="AC72" s="330"/>
    </row>
    <row r="73" spans="2:29" x14ac:dyDescent="0.2">
      <c r="B73" s="419"/>
      <c r="C73" s="117"/>
      <c r="D73" s="110"/>
      <c r="E73" s="158"/>
      <c r="F73" s="158"/>
      <c r="G73" s="111"/>
      <c r="H73" s="325"/>
      <c r="I73" s="325"/>
      <c r="J73" s="327">
        <f t="shared" si="1"/>
        <v>0</v>
      </c>
      <c r="K73" s="326"/>
      <c r="L73" s="326"/>
      <c r="M73" s="328">
        <f t="shared" si="2"/>
        <v>0</v>
      </c>
      <c r="N73" s="326"/>
      <c r="O73" s="326"/>
      <c r="P73" s="338">
        <f t="shared" si="3"/>
        <v>0</v>
      </c>
      <c r="Q73" s="339"/>
      <c r="R73" s="339"/>
      <c r="S73" s="339"/>
      <c r="T73" s="339"/>
      <c r="U73" s="339"/>
      <c r="V73" s="339"/>
      <c r="W73" s="339"/>
      <c r="X73" s="339"/>
      <c r="Y73" s="339"/>
      <c r="Z73" s="339"/>
      <c r="AA73" s="339"/>
      <c r="AB73" s="340"/>
      <c r="AC73" s="330"/>
    </row>
    <row r="74" spans="2:29" x14ac:dyDescent="0.2">
      <c r="B74" s="419"/>
      <c r="C74" s="117"/>
      <c r="D74" s="110"/>
      <c r="E74" s="158"/>
      <c r="F74" s="158"/>
      <c r="G74" s="111"/>
      <c r="H74" s="325"/>
      <c r="I74" s="325"/>
      <c r="J74" s="327">
        <f t="shared" si="1"/>
        <v>0</v>
      </c>
      <c r="K74" s="326"/>
      <c r="L74" s="326"/>
      <c r="M74" s="328">
        <f t="shared" si="2"/>
        <v>0</v>
      </c>
      <c r="N74" s="326"/>
      <c r="O74" s="326"/>
      <c r="P74" s="338">
        <f t="shared" si="3"/>
        <v>0</v>
      </c>
      <c r="Q74" s="339"/>
      <c r="R74" s="339"/>
      <c r="S74" s="339"/>
      <c r="T74" s="339"/>
      <c r="U74" s="339"/>
      <c r="V74" s="339"/>
      <c r="W74" s="339"/>
      <c r="X74" s="339"/>
      <c r="Y74" s="339"/>
      <c r="Z74" s="339"/>
      <c r="AA74" s="339"/>
      <c r="AB74" s="340"/>
      <c r="AC74" s="330"/>
    </row>
    <row r="75" spans="2:29" x14ac:dyDescent="0.2">
      <c r="B75" s="419"/>
      <c r="C75" s="117"/>
      <c r="D75" s="110"/>
      <c r="E75" s="158"/>
      <c r="F75" s="158"/>
      <c r="G75" s="111"/>
      <c r="H75" s="325"/>
      <c r="I75" s="325"/>
      <c r="J75" s="327">
        <f t="shared" si="1"/>
        <v>0</v>
      </c>
      <c r="K75" s="326"/>
      <c r="L75" s="326"/>
      <c r="M75" s="328">
        <f t="shared" si="2"/>
        <v>0</v>
      </c>
      <c r="N75" s="326"/>
      <c r="O75" s="326"/>
      <c r="P75" s="338">
        <f t="shared" si="3"/>
        <v>0</v>
      </c>
      <c r="Q75" s="339"/>
      <c r="R75" s="339"/>
      <c r="S75" s="339"/>
      <c r="T75" s="339"/>
      <c r="U75" s="339"/>
      <c r="V75" s="339"/>
      <c r="W75" s="339"/>
      <c r="X75" s="339"/>
      <c r="Y75" s="339"/>
      <c r="Z75" s="339"/>
      <c r="AA75" s="339"/>
      <c r="AB75" s="340"/>
      <c r="AC75" s="330"/>
    </row>
    <row r="76" spans="2:29" x14ac:dyDescent="0.2">
      <c r="B76" s="419"/>
      <c r="C76" s="117"/>
      <c r="D76" s="110"/>
      <c r="E76" s="158"/>
      <c r="F76" s="158"/>
      <c r="G76" s="111"/>
      <c r="H76" s="325"/>
      <c r="I76" s="325"/>
      <c r="J76" s="327">
        <f t="shared" si="1"/>
        <v>0</v>
      </c>
      <c r="K76" s="326"/>
      <c r="L76" s="326"/>
      <c r="M76" s="328">
        <f t="shared" si="2"/>
        <v>0</v>
      </c>
      <c r="N76" s="326"/>
      <c r="O76" s="326"/>
      <c r="P76" s="338">
        <f t="shared" si="3"/>
        <v>0</v>
      </c>
      <c r="Q76" s="339"/>
      <c r="R76" s="339"/>
      <c r="S76" s="339"/>
      <c r="T76" s="339"/>
      <c r="U76" s="339"/>
      <c r="V76" s="339"/>
      <c r="W76" s="339"/>
      <c r="X76" s="339"/>
      <c r="Y76" s="339"/>
      <c r="Z76" s="339"/>
      <c r="AA76" s="339"/>
      <c r="AB76" s="340"/>
      <c r="AC76" s="330"/>
    </row>
    <row r="77" spans="2:29" x14ac:dyDescent="0.2">
      <c r="B77" s="420"/>
      <c r="C77" s="118"/>
      <c r="D77" s="113"/>
      <c r="E77" s="159"/>
      <c r="F77" s="159"/>
      <c r="G77" s="114"/>
      <c r="H77" s="331"/>
      <c r="I77" s="331"/>
      <c r="J77" s="327">
        <f t="shared" si="1"/>
        <v>0</v>
      </c>
      <c r="K77" s="332"/>
      <c r="L77" s="332"/>
      <c r="M77" s="327">
        <f t="shared" si="2"/>
        <v>0</v>
      </c>
      <c r="N77" s="332"/>
      <c r="O77" s="332"/>
      <c r="P77" s="341">
        <f t="shared" si="3"/>
        <v>0</v>
      </c>
      <c r="Q77" s="342"/>
      <c r="R77" s="342"/>
      <c r="S77" s="342"/>
      <c r="T77" s="342"/>
      <c r="U77" s="342"/>
      <c r="V77" s="342"/>
      <c r="W77" s="342"/>
      <c r="X77" s="342"/>
      <c r="Y77" s="342"/>
      <c r="Z77" s="342"/>
      <c r="AA77" s="342"/>
      <c r="AB77" s="343"/>
      <c r="AC77" s="330"/>
    </row>
    <row r="78" spans="2:29" x14ac:dyDescent="0.2">
      <c r="B78" s="420"/>
      <c r="C78" s="118"/>
      <c r="D78" s="113"/>
      <c r="E78" s="159"/>
      <c r="F78" s="159"/>
      <c r="G78" s="114"/>
      <c r="H78" s="331"/>
      <c r="I78" s="331"/>
      <c r="J78" s="327">
        <f t="shared" si="1"/>
        <v>0</v>
      </c>
      <c r="K78" s="332"/>
      <c r="L78" s="332"/>
      <c r="M78" s="327">
        <f t="shared" si="2"/>
        <v>0</v>
      </c>
      <c r="N78" s="332"/>
      <c r="O78" s="332"/>
      <c r="P78" s="341">
        <f t="shared" si="3"/>
        <v>0</v>
      </c>
      <c r="Q78" s="342"/>
      <c r="R78" s="342"/>
      <c r="S78" s="342"/>
      <c r="T78" s="342"/>
      <c r="U78" s="342"/>
      <c r="V78" s="342"/>
      <c r="W78" s="342"/>
      <c r="X78" s="342"/>
      <c r="Y78" s="342"/>
      <c r="Z78" s="342"/>
      <c r="AA78" s="342"/>
      <c r="AB78" s="343"/>
      <c r="AC78" s="330"/>
    </row>
    <row r="79" spans="2:29" x14ac:dyDescent="0.2">
      <c r="B79" s="420"/>
      <c r="C79" s="118"/>
      <c r="D79" s="113"/>
      <c r="E79" s="159"/>
      <c r="F79" s="159"/>
      <c r="G79" s="114"/>
      <c r="H79" s="331"/>
      <c r="I79" s="331"/>
      <c r="J79" s="327">
        <f t="shared" si="1"/>
        <v>0</v>
      </c>
      <c r="K79" s="332"/>
      <c r="L79" s="332"/>
      <c r="M79" s="327">
        <f t="shared" si="2"/>
        <v>0</v>
      </c>
      <c r="N79" s="332"/>
      <c r="O79" s="332"/>
      <c r="P79" s="341">
        <f t="shared" si="3"/>
        <v>0</v>
      </c>
      <c r="Q79" s="342"/>
      <c r="R79" s="342"/>
      <c r="S79" s="342"/>
      <c r="T79" s="342"/>
      <c r="U79" s="342"/>
      <c r="V79" s="342"/>
      <c r="W79" s="342"/>
      <c r="X79" s="342"/>
      <c r="Y79" s="342"/>
      <c r="Z79" s="342"/>
      <c r="AA79" s="342"/>
      <c r="AB79" s="343"/>
      <c r="AC79" s="330"/>
    </row>
    <row r="80" spans="2:29" x14ac:dyDescent="0.2">
      <c r="B80" s="420"/>
      <c r="C80" s="118"/>
      <c r="D80" s="113"/>
      <c r="E80" s="159"/>
      <c r="F80" s="159"/>
      <c r="G80" s="114"/>
      <c r="H80" s="331"/>
      <c r="I80" s="331"/>
      <c r="J80" s="327">
        <f t="shared" si="1"/>
        <v>0</v>
      </c>
      <c r="K80" s="332"/>
      <c r="L80" s="332"/>
      <c r="M80" s="327">
        <f t="shared" si="2"/>
        <v>0</v>
      </c>
      <c r="N80" s="332"/>
      <c r="O80" s="332"/>
      <c r="P80" s="341">
        <f t="shared" si="3"/>
        <v>0</v>
      </c>
      <c r="Q80" s="342"/>
      <c r="R80" s="342"/>
      <c r="S80" s="342"/>
      <c r="T80" s="342"/>
      <c r="U80" s="342"/>
      <c r="V80" s="342"/>
      <c r="W80" s="342"/>
      <c r="X80" s="342"/>
      <c r="Y80" s="342"/>
      <c r="Z80" s="342"/>
      <c r="AA80" s="342"/>
      <c r="AB80" s="343"/>
      <c r="AC80" s="330"/>
    </row>
    <row r="81" spans="2:29" x14ac:dyDescent="0.2">
      <c r="B81" s="420"/>
      <c r="C81" s="118"/>
      <c r="D81" s="113"/>
      <c r="E81" s="159"/>
      <c r="F81" s="159"/>
      <c r="G81" s="114"/>
      <c r="H81" s="331"/>
      <c r="I81" s="331"/>
      <c r="J81" s="327">
        <f t="shared" si="1"/>
        <v>0</v>
      </c>
      <c r="K81" s="332"/>
      <c r="L81" s="332"/>
      <c r="M81" s="327">
        <f t="shared" si="2"/>
        <v>0</v>
      </c>
      <c r="N81" s="332"/>
      <c r="O81" s="332"/>
      <c r="P81" s="341">
        <f t="shared" si="3"/>
        <v>0</v>
      </c>
      <c r="Q81" s="342"/>
      <c r="R81" s="342"/>
      <c r="S81" s="342"/>
      <c r="T81" s="342"/>
      <c r="U81" s="342"/>
      <c r="V81" s="342"/>
      <c r="W81" s="342"/>
      <c r="X81" s="342"/>
      <c r="Y81" s="342"/>
      <c r="Z81" s="342"/>
      <c r="AA81" s="342"/>
      <c r="AB81" s="343"/>
      <c r="AC81" s="330"/>
    </row>
    <row r="82" spans="2:29" ht="13.5" thickBot="1" x14ac:dyDescent="0.25">
      <c r="B82" s="421"/>
      <c r="C82" s="119"/>
      <c r="D82" s="115"/>
      <c r="E82" s="160"/>
      <c r="F82" s="160"/>
      <c r="G82" s="116"/>
      <c r="H82" s="334"/>
      <c r="I82" s="334"/>
      <c r="J82" s="336">
        <f t="shared" si="1"/>
        <v>0</v>
      </c>
      <c r="K82" s="335"/>
      <c r="L82" s="335"/>
      <c r="M82" s="336">
        <f t="shared" ref="M82:M95" si="11">K82+L82</f>
        <v>0</v>
      </c>
      <c r="N82" s="335"/>
      <c r="O82" s="335"/>
      <c r="P82" s="344">
        <f t="shared" ref="P82" si="12">N82+O82</f>
        <v>0</v>
      </c>
      <c r="Q82" s="342"/>
      <c r="R82" s="342"/>
      <c r="S82" s="342"/>
      <c r="T82" s="342"/>
      <c r="U82" s="342"/>
      <c r="V82" s="342"/>
      <c r="W82" s="342"/>
      <c r="X82" s="342"/>
      <c r="Y82" s="342"/>
      <c r="Z82" s="342"/>
      <c r="AA82" s="342"/>
      <c r="AB82" s="343"/>
      <c r="AC82" s="330"/>
    </row>
    <row r="83" spans="2:29" x14ac:dyDescent="0.2">
      <c r="B83" s="418">
        <f>B96-1</f>
        <v>1898</v>
      </c>
      <c r="C83" s="120"/>
      <c r="D83" s="107"/>
      <c r="E83" s="157"/>
      <c r="F83" s="157"/>
      <c r="G83" s="108"/>
      <c r="H83" s="320"/>
      <c r="I83" s="320"/>
      <c r="J83" s="322">
        <f t="shared" si="1"/>
        <v>0</v>
      </c>
      <c r="K83" s="321"/>
      <c r="L83" s="321"/>
      <c r="M83" s="345">
        <f t="shared" si="11"/>
        <v>0</v>
      </c>
      <c r="N83" s="350"/>
      <c r="O83" s="350"/>
      <c r="P83" s="350"/>
      <c r="Q83" s="339"/>
      <c r="R83" s="339"/>
      <c r="S83" s="339"/>
      <c r="T83" s="339"/>
      <c r="U83" s="339"/>
      <c r="V83" s="339"/>
      <c r="W83" s="339"/>
      <c r="X83" s="339"/>
      <c r="Y83" s="339"/>
      <c r="Z83" s="339"/>
      <c r="AA83" s="339"/>
      <c r="AB83" s="340"/>
      <c r="AC83" s="330"/>
    </row>
    <row r="84" spans="2:29" x14ac:dyDescent="0.2">
      <c r="B84" s="419"/>
      <c r="C84" s="117"/>
      <c r="D84" s="110"/>
      <c r="E84" s="158"/>
      <c r="F84" s="158"/>
      <c r="G84" s="111"/>
      <c r="H84" s="325"/>
      <c r="I84" s="325"/>
      <c r="J84" s="327">
        <f t="shared" si="1"/>
        <v>0</v>
      </c>
      <c r="K84" s="326"/>
      <c r="L84" s="326"/>
      <c r="M84" s="341">
        <f t="shared" si="11"/>
        <v>0</v>
      </c>
      <c r="N84" s="350"/>
      <c r="O84" s="350"/>
      <c r="P84" s="350"/>
      <c r="Q84" s="339"/>
      <c r="R84" s="339"/>
      <c r="S84" s="339"/>
      <c r="T84" s="339"/>
      <c r="U84" s="339"/>
      <c r="V84" s="339"/>
      <c r="W84" s="339"/>
      <c r="X84" s="339"/>
      <c r="Y84" s="339"/>
      <c r="Z84" s="339"/>
      <c r="AA84" s="339"/>
      <c r="AB84" s="340"/>
      <c r="AC84" s="330"/>
    </row>
    <row r="85" spans="2:29" x14ac:dyDescent="0.2">
      <c r="B85" s="419"/>
      <c r="C85" s="117"/>
      <c r="D85" s="110"/>
      <c r="E85" s="158"/>
      <c r="F85" s="158"/>
      <c r="G85" s="111"/>
      <c r="H85" s="325"/>
      <c r="I85" s="325"/>
      <c r="J85" s="327">
        <f t="shared" si="1"/>
        <v>0</v>
      </c>
      <c r="K85" s="326"/>
      <c r="L85" s="326"/>
      <c r="M85" s="341">
        <f t="shared" si="11"/>
        <v>0</v>
      </c>
      <c r="N85" s="350"/>
      <c r="O85" s="350"/>
      <c r="P85" s="350"/>
      <c r="Q85" s="339"/>
      <c r="R85" s="339"/>
      <c r="S85" s="339"/>
      <c r="T85" s="339"/>
      <c r="U85" s="339"/>
      <c r="V85" s="339"/>
      <c r="W85" s="339"/>
      <c r="X85" s="339"/>
      <c r="Y85" s="339"/>
      <c r="Z85" s="339"/>
      <c r="AA85" s="339"/>
      <c r="AB85" s="340"/>
      <c r="AC85" s="330"/>
    </row>
    <row r="86" spans="2:29" x14ac:dyDescent="0.2">
      <c r="B86" s="419"/>
      <c r="C86" s="117"/>
      <c r="D86" s="110"/>
      <c r="E86" s="158"/>
      <c r="F86" s="158"/>
      <c r="G86" s="111"/>
      <c r="H86" s="325"/>
      <c r="I86" s="325"/>
      <c r="J86" s="327">
        <f t="shared" si="1"/>
        <v>0</v>
      </c>
      <c r="K86" s="326"/>
      <c r="L86" s="326"/>
      <c r="M86" s="341">
        <f t="shared" si="11"/>
        <v>0</v>
      </c>
      <c r="N86" s="350"/>
      <c r="O86" s="350"/>
      <c r="P86" s="350"/>
      <c r="Q86" s="339"/>
      <c r="R86" s="339"/>
      <c r="S86" s="339"/>
      <c r="T86" s="339"/>
      <c r="U86" s="339"/>
      <c r="V86" s="339"/>
      <c r="W86" s="339"/>
      <c r="X86" s="339"/>
      <c r="Y86" s="339"/>
      <c r="Z86" s="339"/>
      <c r="AA86" s="339"/>
      <c r="AB86" s="340"/>
      <c r="AC86" s="330"/>
    </row>
    <row r="87" spans="2:29" x14ac:dyDescent="0.2">
      <c r="B87" s="419"/>
      <c r="C87" s="117"/>
      <c r="D87" s="110"/>
      <c r="E87" s="158"/>
      <c r="F87" s="158"/>
      <c r="G87" s="111"/>
      <c r="H87" s="325"/>
      <c r="I87" s="325"/>
      <c r="J87" s="327">
        <f t="shared" si="1"/>
        <v>0</v>
      </c>
      <c r="K87" s="326"/>
      <c r="L87" s="326"/>
      <c r="M87" s="341">
        <f t="shared" si="11"/>
        <v>0</v>
      </c>
      <c r="N87" s="350"/>
      <c r="O87" s="350"/>
      <c r="P87" s="350"/>
      <c r="Q87" s="339"/>
      <c r="R87" s="339"/>
      <c r="S87" s="339"/>
      <c r="T87" s="339"/>
      <c r="U87" s="339"/>
      <c r="V87" s="339"/>
      <c r="W87" s="339"/>
      <c r="X87" s="339"/>
      <c r="Y87" s="339"/>
      <c r="Z87" s="339"/>
      <c r="AA87" s="339"/>
      <c r="AB87" s="340"/>
      <c r="AC87" s="330"/>
    </row>
    <row r="88" spans="2:29" x14ac:dyDescent="0.2">
      <c r="B88" s="419"/>
      <c r="C88" s="117"/>
      <c r="D88" s="110"/>
      <c r="E88" s="158"/>
      <c r="F88" s="158"/>
      <c r="G88" s="111"/>
      <c r="H88" s="325"/>
      <c r="I88" s="325"/>
      <c r="J88" s="327">
        <f t="shared" si="1"/>
        <v>0</v>
      </c>
      <c r="K88" s="326"/>
      <c r="L88" s="326"/>
      <c r="M88" s="341">
        <f t="shared" si="11"/>
        <v>0</v>
      </c>
      <c r="N88" s="350"/>
      <c r="O88" s="350"/>
      <c r="P88" s="350"/>
      <c r="Q88" s="339"/>
      <c r="R88" s="339"/>
      <c r="S88" s="339"/>
      <c r="T88" s="339"/>
      <c r="U88" s="339"/>
      <c r="V88" s="339"/>
      <c r="W88" s="339"/>
      <c r="X88" s="339"/>
      <c r="Y88" s="339"/>
      <c r="Z88" s="339"/>
      <c r="AA88" s="339"/>
      <c r="AB88" s="340"/>
      <c r="AC88" s="330"/>
    </row>
    <row r="89" spans="2:29" x14ac:dyDescent="0.2">
      <c r="B89" s="419"/>
      <c r="C89" s="117"/>
      <c r="D89" s="110"/>
      <c r="E89" s="158"/>
      <c r="F89" s="158"/>
      <c r="G89" s="111"/>
      <c r="H89" s="325"/>
      <c r="I89" s="325"/>
      <c r="J89" s="327">
        <f t="shared" si="1"/>
        <v>0</v>
      </c>
      <c r="K89" s="326"/>
      <c r="L89" s="326"/>
      <c r="M89" s="341">
        <f t="shared" si="11"/>
        <v>0</v>
      </c>
      <c r="N89" s="350"/>
      <c r="O89" s="350"/>
      <c r="P89" s="350"/>
      <c r="Q89" s="339"/>
      <c r="R89" s="339"/>
      <c r="S89" s="339"/>
      <c r="T89" s="339"/>
      <c r="U89" s="339"/>
      <c r="V89" s="339"/>
      <c r="W89" s="339"/>
      <c r="X89" s="339"/>
      <c r="Y89" s="339"/>
      <c r="Z89" s="339"/>
      <c r="AA89" s="339"/>
      <c r="AB89" s="340"/>
      <c r="AC89" s="330"/>
    </row>
    <row r="90" spans="2:29" x14ac:dyDescent="0.2">
      <c r="B90" s="420"/>
      <c r="C90" s="118"/>
      <c r="D90" s="113"/>
      <c r="E90" s="159"/>
      <c r="F90" s="159"/>
      <c r="G90" s="114"/>
      <c r="H90" s="331"/>
      <c r="I90" s="331"/>
      <c r="J90" s="327">
        <f t="shared" si="1"/>
        <v>0</v>
      </c>
      <c r="K90" s="332"/>
      <c r="L90" s="332"/>
      <c r="M90" s="341">
        <f t="shared" si="11"/>
        <v>0</v>
      </c>
      <c r="N90" s="351"/>
      <c r="O90" s="351"/>
      <c r="P90" s="351"/>
      <c r="Q90" s="342"/>
      <c r="R90" s="342"/>
      <c r="S90" s="342"/>
      <c r="T90" s="342"/>
      <c r="U90" s="342"/>
      <c r="V90" s="342"/>
      <c r="W90" s="342"/>
      <c r="X90" s="342"/>
      <c r="Y90" s="342"/>
      <c r="Z90" s="342"/>
      <c r="AA90" s="342"/>
      <c r="AB90" s="343"/>
      <c r="AC90" s="330"/>
    </row>
    <row r="91" spans="2:29" x14ac:dyDescent="0.2">
      <c r="B91" s="420"/>
      <c r="C91" s="118"/>
      <c r="D91" s="113"/>
      <c r="E91" s="159"/>
      <c r="F91" s="159"/>
      <c r="G91" s="114"/>
      <c r="H91" s="331"/>
      <c r="I91" s="331"/>
      <c r="J91" s="327">
        <f t="shared" si="1"/>
        <v>0</v>
      </c>
      <c r="K91" s="332"/>
      <c r="L91" s="332"/>
      <c r="M91" s="341">
        <f t="shared" si="11"/>
        <v>0</v>
      </c>
      <c r="N91" s="351"/>
      <c r="O91" s="351"/>
      <c r="P91" s="351"/>
      <c r="Q91" s="342"/>
      <c r="R91" s="342"/>
      <c r="S91" s="342"/>
      <c r="T91" s="342"/>
      <c r="U91" s="342"/>
      <c r="V91" s="342"/>
      <c r="W91" s="342"/>
      <c r="X91" s="342"/>
      <c r="Y91" s="342"/>
      <c r="Z91" s="342"/>
      <c r="AA91" s="342"/>
      <c r="AB91" s="343"/>
      <c r="AC91" s="330"/>
    </row>
    <row r="92" spans="2:29" x14ac:dyDescent="0.2">
      <c r="B92" s="420"/>
      <c r="C92" s="118"/>
      <c r="D92" s="113"/>
      <c r="E92" s="159"/>
      <c r="F92" s="159"/>
      <c r="G92" s="114"/>
      <c r="H92" s="331"/>
      <c r="I92" s="331"/>
      <c r="J92" s="327">
        <f t="shared" si="1"/>
        <v>0</v>
      </c>
      <c r="K92" s="332"/>
      <c r="L92" s="332"/>
      <c r="M92" s="341">
        <f t="shared" si="11"/>
        <v>0</v>
      </c>
      <c r="N92" s="351"/>
      <c r="O92" s="351"/>
      <c r="P92" s="351"/>
      <c r="Q92" s="342"/>
      <c r="R92" s="342"/>
      <c r="S92" s="342"/>
      <c r="T92" s="342"/>
      <c r="U92" s="342"/>
      <c r="V92" s="342"/>
      <c r="W92" s="342"/>
      <c r="X92" s="342"/>
      <c r="Y92" s="342"/>
      <c r="Z92" s="342"/>
      <c r="AA92" s="342"/>
      <c r="AB92" s="343"/>
      <c r="AC92" s="330"/>
    </row>
    <row r="93" spans="2:29" x14ac:dyDescent="0.2">
      <c r="B93" s="420"/>
      <c r="C93" s="118"/>
      <c r="D93" s="113"/>
      <c r="E93" s="159"/>
      <c r="F93" s="159"/>
      <c r="G93" s="114"/>
      <c r="H93" s="331"/>
      <c r="I93" s="331"/>
      <c r="J93" s="327">
        <f t="shared" si="1"/>
        <v>0</v>
      </c>
      <c r="K93" s="332"/>
      <c r="L93" s="332"/>
      <c r="M93" s="341">
        <f t="shared" si="11"/>
        <v>0</v>
      </c>
      <c r="N93" s="351"/>
      <c r="O93" s="351"/>
      <c r="P93" s="351"/>
      <c r="Q93" s="342"/>
      <c r="R93" s="342"/>
      <c r="S93" s="342"/>
      <c r="T93" s="342"/>
      <c r="U93" s="342"/>
      <c r="V93" s="342"/>
      <c r="W93" s="342"/>
      <c r="X93" s="342"/>
      <c r="Y93" s="342"/>
      <c r="Z93" s="342"/>
      <c r="AA93" s="342"/>
      <c r="AB93" s="343"/>
      <c r="AC93" s="330"/>
    </row>
    <row r="94" spans="2:29" x14ac:dyDescent="0.2">
      <c r="B94" s="420"/>
      <c r="C94" s="118"/>
      <c r="D94" s="113"/>
      <c r="E94" s="159"/>
      <c r="F94" s="159"/>
      <c r="G94" s="114"/>
      <c r="H94" s="331"/>
      <c r="I94" s="331"/>
      <c r="J94" s="327">
        <f t="shared" si="1"/>
        <v>0</v>
      </c>
      <c r="K94" s="332"/>
      <c r="L94" s="332"/>
      <c r="M94" s="341">
        <f t="shared" si="11"/>
        <v>0</v>
      </c>
      <c r="N94" s="351"/>
      <c r="O94" s="351"/>
      <c r="P94" s="351"/>
      <c r="Q94" s="342"/>
      <c r="R94" s="342"/>
      <c r="S94" s="342"/>
      <c r="T94" s="342"/>
      <c r="U94" s="342"/>
      <c r="V94" s="342"/>
      <c r="W94" s="342"/>
      <c r="X94" s="342"/>
      <c r="Y94" s="342"/>
      <c r="Z94" s="342"/>
      <c r="AA94" s="342"/>
      <c r="AB94" s="343"/>
      <c r="AC94" s="330"/>
    </row>
    <row r="95" spans="2:29" ht="13.5" thickBot="1" x14ac:dyDescent="0.25">
      <c r="B95" s="421"/>
      <c r="C95" s="119"/>
      <c r="D95" s="115"/>
      <c r="E95" s="160"/>
      <c r="F95" s="160"/>
      <c r="G95" s="116"/>
      <c r="H95" s="334"/>
      <c r="I95" s="334"/>
      <c r="J95" s="336">
        <f t="shared" si="1"/>
        <v>0</v>
      </c>
      <c r="K95" s="335"/>
      <c r="L95" s="335"/>
      <c r="M95" s="344">
        <f t="shared" si="11"/>
        <v>0</v>
      </c>
      <c r="N95" s="351"/>
      <c r="O95" s="351"/>
      <c r="P95" s="351"/>
      <c r="Q95" s="342"/>
      <c r="R95" s="342"/>
      <c r="S95" s="342"/>
      <c r="T95" s="342"/>
      <c r="U95" s="342"/>
      <c r="V95" s="342"/>
      <c r="W95" s="342"/>
      <c r="X95" s="342"/>
      <c r="Y95" s="342"/>
      <c r="Z95" s="342"/>
      <c r="AA95" s="342"/>
      <c r="AB95" s="343"/>
      <c r="AC95" s="330"/>
    </row>
    <row r="96" spans="2:29" x14ac:dyDescent="0.2">
      <c r="B96" s="418">
        <f>D10-1</f>
        <v>1899</v>
      </c>
      <c r="C96" s="120"/>
      <c r="D96" s="107"/>
      <c r="E96" s="157"/>
      <c r="F96" s="157"/>
      <c r="G96" s="108"/>
      <c r="H96" s="320"/>
      <c r="I96" s="320"/>
      <c r="J96" s="345">
        <f t="shared" si="1"/>
        <v>0</v>
      </c>
      <c r="K96" s="352"/>
      <c r="L96" s="350"/>
      <c r="M96" s="353"/>
      <c r="N96" s="351"/>
      <c r="O96" s="351"/>
      <c r="P96" s="351"/>
      <c r="Q96" s="342"/>
      <c r="R96" s="342"/>
      <c r="S96" s="342"/>
      <c r="T96" s="342"/>
      <c r="U96" s="342"/>
      <c r="V96" s="342"/>
      <c r="W96" s="342"/>
      <c r="X96" s="342"/>
      <c r="Y96" s="342"/>
      <c r="Z96" s="342"/>
      <c r="AA96" s="342"/>
      <c r="AB96" s="343"/>
      <c r="AC96" s="330"/>
    </row>
    <row r="97" spans="2:29" x14ac:dyDescent="0.2">
      <c r="B97" s="419"/>
      <c r="C97" s="117"/>
      <c r="D97" s="110"/>
      <c r="E97" s="158"/>
      <c r="F97" s="158"/>
      <c r="G97" s="111"/>
      <c r="H97" s="325"/>
      <c r="I97" s="325"/>
      <c r="J97" s="341">
        <f t="shared" si="1"/>
        <v>0</v>
      </c>
      <c r="K97" s="352"/>
      <c r="L97" s="350"/>
      <c r="M97" s="353"/>
      <c r="N97" s="350"/>
      <c r="O97" s="350"/>
      <c r="P97" s="350"/>
      <c r="Q97" s="339"/>
      <c r="R97" s="339"/>
      <c r="S97" s="339"/>
      <c r="T97" s="339"/>
      <c r="U97" s="339"/>
      <c r="V97" s="339"/>
      <c r="W97" s="339"/>
      <c r="X97" s="339"/>
      <c r="Y97" s="339"/>
      <c r="Z97" s="339"/>
      <c r="AA97" s="339"/>
      <c r="AB97" s="340"/>
      <c r="AC97" s="330"/>
    </row>
    <row r="98" spans="2:29" x14ac:dyDescent="0.2">
      <c r="B98" s="419"/>
      <c r="C98" s="117"/>
      <c r="D98" s="110"/>
      <c r="E98" s="158"/>
      <c r="F98" s="158"/>
      <c r="G98" s="111"/>
      <c r="H98" s="325"/>
      <c r="I98" s="325"/>
      <c r="J98" s="341">
        <f t="shared" si="1"/>
        <v>0</v>
      </c>
      <c r="K98" s="352"/>
      <c r="L98" s="350"/>
      <c r="M98" s="353"/>
      <c r="N98" s="350"/>
      <c r="O98" s="350"/>
      <c r="P98" s="350"/>
      <c r="Q98" s="339"/>
      <c r="R98" s="339"/>
      <c r="S98" s="339"/>
      <c r="T98" s="339"/>
      <c r="U98" s="339"/>
      <c r="V98" s="339"/>
      <c r="W98" s="339"/>
      <c r="X98" s="339"/>
      <c r="Y98" s="339"/>
      <c r="Z98" s="339"/>
      <c r="AA98" s="339"/>
      <c r="AB98" s="340"/>
      <c r="AC98" s="330"/>
    </row>
    <row r="99" spans="2:29" x14ac:dyDescent="0.2">
      <c r="B99" s="419"/>
      <c r="C99" s="117"/>
      <c r="D99" s="110"/>
      <c r="E99" s="158"/>
      <c r="F99" s="158"/>
      <c r="G99" s="111"/>
      <c r="H99" s="325"/>
      <c r="I99" s="325"/>
      <c r="J99" s="341">
        <f t="shared" si="1"/>
        <v>0</v>
      </c>
      <c r="K99" s="352"/>
      <c r="L99" s="350"/>
      <c r="M99" s="353"/>
      <c r="N99" s="350"/>
      <c r="O99" s="350"/>
      <c r="P99" s="350"/>
      <c r="Q99" s="339"/>
      <c r="R99" s="339"/>
      <c r="S99" s="339"/>
      <c r="T99" s="339"/>
      <c r="U99" s="339"/>
      <c r="V99" s="339"/>
      <c r="W99" s="339"/>
      <c r="X99" s="339"/>
      <c r="Y99" s="339"/>
      <c r="Z99" s="339"/>
      <c r="AA99" s="339"/>
      <c r="AB99" s="340"/>
      <c r="AC99" s="330"/>
    </row>
    <row r="100" spans="2:29" x14ac:dyDescent="0.2">
      <c r="B100" s="419"/>
      <c r="C100" s="117"/>
      <c r="D100" s="110"/>
      <c r="E100" s="158"/>
      <c r="F100" s="158"/>
      <c r="G100" s="111"/>
      <c r="H100" s="325"/>
      <c r="I100" s="325"/>
      <c r="J100" s="341">
        <f t="shared" si="1"/>
        <v>0</v>
      </c>
      <c r="K100" s="352"/>
      <c r="L100" s="350"/>
      <c r="M100" s="353"/>
      <c r="N100" s="350"/>
      <c r="O100" s="350"/>
      <c r="P100" s="350"/>
      <c r="Q100" s="339"/>
      <c r="R100" s="339"/>
      <c r="S100" s="339"/>
      <c r="T100" s="339"/>
      <c r="U100" s="339"/>
      <c r="V100" s="339"/>
      <c r="W100" s="339"/>
      <c r="X100" s="339"/>
      <c r="Y100" s="339"/>
      <c r="Z100" s="339"/>
      <c r="AA100" s="339"/>
      <c r="AB100" s="340"/>
      <c r="AC100" s="330"/>
    </row>
    <row r="101" spans="2:29" x14ac:dyDescent="0.2">
      <c r="B101" s="419"/>
      <c r="C101" s="117"/>
      <c r="D101" s="110"/>
      <c r="E101" s="158"/>
      <c r="F101" s="158"/>
      <c r="G101" s="111"/>
      <c r="H101" s="325"/>
      <c r="I101" s="325"/>
      <c r="J101" s="341">
        <f t="shared" si="1"/>
        <v>0</v>
      </c>
      <c r="K101" s="352"/>
      <c r="L101" s="350"/>
      <c r="M101" s="353"/>
      <c r="N101" s="350"/>
      <c r="O101" s="350"/>
      <c r="P101" s="350"/>
      <c r="Q101" s="339"/>
      <c r="R101" s="339"/>
      <c r="S101" s="339"/>
      <c r="T101" s="339"/>
      <c r="U101" s="339"/>
      <c r="V101" s="339"/>
      <c r="W101" s="339"/>
      <c r="X101" s="339"/>
      <c r="Y101" s="339"/>
      <c r="Z101" s="339"/>
      <c r="AA101" s="339"/>
      <c r="AB101" s="340"/>
      <c r="AC101" s="330"/>
    </row>
    <row r="102" spans="2:29" x14ac:dyDescent="0.2">
      <c r="B102" s="419"/>
      <c r="C102" s="117"/>
      <c r="D102" s="110"/>
      <c r="E102" s="158"/>
      <c r="F102" s="158"/>
      <c r="G102" s="111"/>
      <c r="H102" s="325"/>
      <c r="I102" s="325"/>
      <c r="J102" s="341">
        <f t="shared" si="1"/>
        <v>0</v>
      </c>
      <c r="K102" s="352"/>
      <c r="L102" s="350"/>
      <c r="M102" s="353"/>
      <c r="N102" s="350"/>
      <c r="O102" s="350"/>
      <c r="P102" s="350"/>
      <c r="Q102" s="339"/>
      <c r="R102" s="339"/>
      <c r="S102" s="339"/>
      <c r="T102" s="339"/>
      <c r="U102" s="339"/>
      <c r="V102" s="339"/>
      <c r="W102" s="339"/>
      <c r="X102" s="339"/>
      <c r="Y102" s="339"/>
      <c r="Z102" s="339"/>
      <c r="AA102" s="339"/>
      <c r="AB102" s="340"/>
      <c r="AC102" s="330"/>
    </row>
    <row r="103" spans="2:29" x14ac:dyDescent="0.2">
      <c r="B103" s="419"/>
      <c r="C103" s="117"/>
      <c r="D103" s="110"/>
      <c r="E103" s="158"/>
      <c r="F103" s="158"/>
      <c r="G103" s="111"/>
      <c r="H103" s="325"/>
      <c r="I103" s="325"/>
      <c r="J103" s="341">
        <f t="shared" si="1"/>
        <v>0</v>
      </c>
      <c r="K103" s="352"/>
      <c r="L103" s="350"/>
      <c r="M103" s="353"/>
      <c r="N103" s="350"/>
      <c r="O103" s="350"/>
      <c r="P103" s="350"/>
      <c r="Q103" s="339"/>
      <c r="R103" s="339"/>
      <c r="S103" s="339"/>
      <c r="T103" s="339"/>
      <c r="U103" s="339"/>
      <c r="V103" s="339"/>
      <c r="W103" s="339"/>
      <c r="X103" s="339"/>
      <c r="Y103" s="339"/>
      <c r="Z103" s="339"/>
      <c r="AA103" s="339"/>
      <c r="AB103" s="340"/>
      <c r="AC103" s="330"/>
    </row>
    <row r="104" spans="2:29" x14ac:dyDescent="0.2">
      <c r="B104" s="420"/>
      <c r="C104" s="118"/>
      <c r="D104" s="113"/>
      <c r="E104" s="159"/>
      <c r="F104" s="159"/>
      <c r="G104" s="114"/>
      <c r="H104" s="331"/>
      <c r="I104" s="331"/>
      <c r="J104" s="341">
        <f t="shared" si="1"/>
        <v>0</v>
      </c>
      <c r="K104" s="354"/>
      <c r="L104" s="351"/>
      <c r="M104" s="355"/>
      <c r="N104" s="350"/>
      <c r="O104" s="350"/>
      <c r="P104" s="350"/>
      <c r="Q104" s="339"/>
      <c r="R104" s="339"/>
      <c r="S104" s="339"/>
      <c r="T104" s="339"/>
      <c r="U104" s="339"/>
      <c r="V104" s="339"/>
      <c r="W104" s="339"/>
      <c r="X104" s="339"/>
      <c r="Y104" s="339"/>
      <c r="Z104" s="339"/>
      <c r="AA104" s="339"/>
      <c r="AB104" s="340"/>
      <c r="AC104" s="330"/>
    </row>
    <row r="105" spans="2:29" x14ac:dyDescent="0.2">
      <c r="B105" s="420"/>
      <c r="C105" s="118"/>
      <c r="D105" s="113"/>
      <c r="E105" s="159"/>
      <c r="F105" s="159"/>
      <c r="G105" s="114"/>
      <c r="H105" s="331"/>
      <c r="I105" s="331"/>
      <c r="J105" s="341">
        <f t="shared" si="1"/>
        <v>0</v>
      </c>
      <c r="K105" s="354"/>
      <c r="L105" s="351"/>
      <c r="M105" s="355"/>
      <c r="N105" s="351"/>
      <c r="O105" s="351"/>
      <c r="P105" s="351"/>
      <c r="Q105" s="342"/>
      <c r="R105" s="342"/>
      <c r="S105" s="342"/>
      <c r="T105" s="342"/>
      <c r="U105" s="342"/>
      <c r="V105" s="342"/>
      <c r="W105" s="342"/>
      <c r="X105" s="342"/>
      <c r="Y105" s="342"/>
      <c r="Z105" s="342"/>
      <c r="AA105" s="342"/>
      <c r="AB105" s="343"/>
      <c r="AC105" s="330"/>
    </row>
    <row r="106" spans="2:29" x14ac:dyDescent="0.2">
      <c r="B106" s="420"/>
      <c r="C106" s="118"/>
      <c r="D106" s="113"/>
      <c r="E106" s="159"/>
      <c r="F106" s="159"/>
      <c r="G106" s="114"/>
      <c r="H106" s="331"/>
      <c r="I106" s="331"/>
      <c r="J106" s="341">
        <f t="shared" si="1"/>
        <v>0</v>
      </c>
      <c r="K106" s="354"/>
      <c r="L106" s="351"/>
      <c r="M106" s="355"/>
      <c r="N106" s="351"/>
      <c r="O106" s="351"/>
      <c r="P106" s="351"/>
      <c r="Q106" s="342"/>
      <c r="R106" s="342"/>
      <c r="S106" s="342"/>
      <c r="T106" s="342"/>
      <c r="U106" s="342"/>
      <c r="V106" s="342"/>
      <c r="W106" s="342"/>
      <c r="X106" s="342"/>
      <c r="Y106" s="342"/>
      <c r="Z106" s="342"/>
      <c r="AA106" s="342"/>
      <c r="AB106" s="343"/>
      <c r="AC106" s="330"/>
    </row>
    <row r="107" spans="2:29" x14ac:dyDescent="0.2">
      <c r="B107" s="420"/>
      <c r="C107" s="118"/>
      <c r="D107" s="113"/>
      <c r="E107" s="159"/>
      <c r="F107" s="159"/>
      <c r="G107" s="114"/>
      <c r="H107" s="331"/>
      <c r="I107" s="331"/>
      <c r="J107" s="341">
        <f t="shared" si="1"/>
        <v>0</v>
      </c>
      <c r="K107" s="354"/>
      <c r="L107" s="351"/>
      <c r="M107" s="355"/>
      <c r="N107" s="351"/>
      <c r="O107" s="351"/>
      <c r="P107" s="351"/>
      <c r="Q107" s="342"/>
      <c r="R107" s="342"/>
      <c r="S107" s="342"/>
      <c r="T107" s="342"/>
      <c r="U107" s="342"/>
      <c r="V107" s="342"/>
      <c r="W107" s="342"/>
      <c r="X107" s="342"/>
      <c r="Y107" s="342"/>
      <c r="Z107" s="342"/>
      <c r="AA107" s="342"/>
      <c r="AB107" s="343"/>
      <c r="AC107" s="330"/>
    </row>
    <row r="108" spans="2:29" x14ac:dyDescent="0.2">
      <c r="B108" s="420"/>
      <c r="C108" s="118"/>
      <c r="D108" s="113"/>
      <c r="E108" s="159"/>
      <c r="F108" s="159"/>
      <c r="G108" s="114"/>
      <c r="H108" s="331"/>
      <c r="I108" s="331"/>
      <c r="J108" s="341">
        <f t="shared" si="1"/>
        <v>0</v>
      </c>
      <c r="K108" s="354"/>
      <c r="L108" s="351"/>
      <c r="M108" s="355"/>
      <c r="N108" s="351"/>
      <c r="O108" s="351"/>
      <c r="P108" s="351"/>
      <c r="Q108" s="342"/>
      <c r="R108" s="342"/>
      <c r="S108" s="342"/>
      <c r="T108" s="342"/>
      <c r="U108" s="342"/>
      <c r="V108" s="342"/>
      <c r="W108" s="342"/>
      <c r="X108" s="342"/>
      <c r="Y108" s="342"/>
      <c r="Z108" s="342"/>
      <c r="AA108" s="342"/>
      <c r="AB108" s="343"/>
      <c r="AC108" s="330"/>
    </row>
    <row r="109" spans="2:29" x14ac:dyDescent="0.2">
      <c r="B109" s="420"/>
      <c r="C109" s="118"/>
      <c r="D109" s="113"/>
      <c r="E109" s="159"/>
      <c r="F109" s="159"/>
      <c r="G109" s="114"/>
      <c r="H109" s="331"/>
      <c r="I109" s="331"/>
      <c r="J109" s="341">
        <f t="shared" si="1"/>
        <v>0</v>
      </c>
      <c r="K109" s="354"/>
      <c r="L109" s="351"/>
      <c r="M109" s="355"/>
      <c r="N109" s="351"/>
      <c r="O109" s="351"/>
      <c r="P109" s="351"/>
      <c r="Q109" s="342"/>
      <c r="R109" s="342"/>
      <c r="S109" s="342"/>
      <c r="T109" s="342"/>
      <c r="U109" s="342"/>
      <c r="V109" s="342"/>
      <c r="W109" s="342"/>
      <c r="X109" s="342"/>
      <c r="Y109" s="342"/>
      <c r="Z109" s="342"/>
      <c r="AA109" s="342"/>
      <c r="AB109" s="343"/>
      <c r="AC109" s="330"/>
    </row>
    <row r="110" spans="2:29" ht="13.5" thickBot="1" x14ac:dyDescent="0.25">
      <c r="B110" s="421"/>
      <c r="C110" s="119"/>
      <c r="D110" s="115"/>
      <c r="E110" s="160"/>
      <c r="F110" s="160"/>
      <c r="G110" s="116"/>
      <c r="H110" s="334"/>
      <c r="I110" s="334"/>
      <c r="J110" s="344">
        <f t="shared" si="1"/>
        <v>0</v>
      </c>
      <c r="K110" s="354"/>
      <c r="L110" s="351"/>
      <c r="M110" s="355"/>
      <c r="N110" s="351"/>
      <c r="O110" s="351"/>
      <c r="P110" s="351"/>
      <c r="Q110" s="342"/>
      <c r="R110" s="342"/>
      <c r="S110" s="342"/>
      <c r="T110" s="342"/>
      <c r="U110" s="342"/>
      <c r="V110" s="342"/>
      <c r="W110" s="342"/>
      <c r="X110" s="342"/>
      <c r="Y110" s="342"/>
      <c r="Z110" s="342"/>
      <c r="AA110" s="342"/>
      <c r="AB110" s="343"/>
      <c r="AC110" s="356"/>
    </row>
    <row r="111" spans="2:29" ht="13.5" thickBot="1" x14ac:dyDescent="0.25"/>
    <row r="112" spans="2:29" x14ac:dyDescent="0.2">
      <c r="B112" s="90" t="s">
        <v>196</v>
      </c>
      <c r="C112" s="91"/>
      <c r="D112" s="91" t="s">
        <v>217</v>
      </c>
      <c r="E112" s="91"/>
      <c r="F112" s="91"/>
      <c r="G112" s="91"/>
      <c r="H112" s="91"/>
      <c r="I112" s="91"/>
      <c r="J112" s="91"/>
      <c r="K112" s="91"/>
      <c r="L112" s="91"/>
      <c r="M112" s="91"/>
      <c r="N112" s="91"/>
      <c r="O112" s="91"/>
      <c r="P112" s="91"/>
      <c r="Q112" s="91"/>
      <c r="R112" s="91"/>
      <c r="S112" s="91"/>
      <c r="T112" s="91"/>
      <c r="U112" s="91"/>
      <c r="V112" s="91"/>
      <c r="W112" s="91"/>
      <c r="X112" s="91"/>
      <c r="Y112" s="91"/>
      <c r="Z112" s="91"/>
      <c r="AA112" s="91"/>
      <c r="AB112" s="91"/>
      <c r="AC112" s="124"/>
    </row>
    <row r="113" spans="2:29" x14ac:dyDescent="0.2">
      <c r="B113" s="48"/>
      <c r="C113" s="45"/>
      <c r="D113" s="45" t="s">
        <v>218</v>
      </c>
      <c r="E113" s="45"/>
      <c r="F113" s="45"/>
      <c r="G113" s="45"/>
      <c r="H113" s="45"/>
      <c r="I113" s="45"/>
      <c r="J113" s="45"/>
      <c r="K113" s="45"/>
      <c r="L113" s="45"/>
      <c r="M113" s="45"/>
      <c r="N113" s="45"/>
      <c r="O113" s="45"/>
      <c r="P113" s="45"/>
      <c r="Q113" s="45"/>
      <c r="R113" s="45"/>
      <c r="S113" s="45"/>
      <c r="T113" s="45"/>
      <c r="U113" s="45"/>
      <c r="V113" s="45"/>
      <c r="W113" s="45"/>
      <c r="X113" s="45"/>
      <c r="Y113" s="45"/>
      <c r="Z113" s="45"/>
      <c r="AA113" s="45"/>
      <c r="AB113" s="45"/>
      <c r="AC113" s="53"/>
    </row>
    <row r="114" spans="2:29" ht="13.5" thickBot="1" x14ac:dyDescent="0.25">
      <c r="B114" s="92"/>
      <c r="C114" s="93"/>
      <c r="D114" s="93" t="s">
        <v>219</v>
      </c>
      <c r="E114" s="93"/>
      <c r="F114" s="93"/>
      <c r="G114" s="93"/>
      <c r="H114" s="93"/>
      <c r="I114" s="93"/>
      <c r="J114" s="93"/>
      <c r="K114" s="93"/>
      <c r="L114" s="93"/>
      <c r="M114" s="93"/>
      <c r="N114" s="93"/>
      <c r="O114" s="93"/>
      <c r="P114" s="93"/>
      <c r="Q114" s="93"/>
      <c r="R114" s="93"/>
      <c r="S114" s="93"/>
      <c r="T114" s="93"/>
      <c r="U114" s="93"/>
      <c r="V114" s="93"/>
      <c r="W114" s="93"/>
      <c r="X114" s="93"/>
      <c r="Y114" s="93"/>
      <c r="Z114" s="93"/>
      <c r="AA114" s="93"/>
      <c r="AB114" s="93"/>
      <c r="AC114" s="125"/>
    </row>
    <row r="116" spans="2:29" x14ac:dyDescent="0.2">
      <c r="B116" s="285" t="s">
        <v>18</v>
      </c>
      <c r="C116" s="173"/>
      <c r="D116" s="173"/>
      <c r="E116" s="173"/>
      <c r="F116" s="173"/>
    </row>
    <row r="117" spans="2:29" x14ac:dyDescent="0.2">
      <c r="B117" s="403"/>
      <c r="C117" s="403"/>
      <c r="D117" s="403"/>
      <c r="E117" s="403"/>
      <c r="F117" s="369"/>
    </row>
    <row r="118" spans="2:29" x14ac:dyDescent="0.2">
      <c r="B118" s="403"/>
      <c r="C118" s="403"/>
      <c r="D118" s="403"/>
      <c r="E118" s="403"/>
      <c r="F118" s="369"/>
    </row>
    <row r="119" spans="2:29" x14ac:dyDescent="0.2">
      <c r="B119" s="403"/>
      <c r="C119" s="403"/>
      <c r="D119" s="403"/>
      <c r="E119" s="403"/>
      <c r="F119" s="369"/>
    </row>
  </sheetData>
  <mergeCells count="41">
    <mergeCell ref="B117:E119"/>
    <mergeCell ref="B2:AC2"/>
    <mergeCell ref="B4:AC4"/>
    <mergeCell ref="B5:AC5"/>
    <mergeCell ref="AC14:AC17"/>
    <mergeCell ref="H14:J14"/>
    <mergeCell ref="K14:M14"/>
    <mergeCell ref="N14:P14"/>
    <mergeCell ref="Q14:S14"/>
    <mergeCell ref="T14:V14"/>
    <mergeCell ref="W14:Y14"/>
    <mergeCell ref="Z14:AB14"/>
    <mergeCell ref="W15:Y15"/>
    <mergeCell ref="Z15:AB15"/>
    <mergeCell ref="H15:J15"/>
    <mergeCell ref="K15:M15"/>
    <mergeCell ref="N15:P15"/>
    <mergeCell ref="Q15:S15"/>
    <mergeCell ref="T15:V15"/>
    <mergeCell ref="W16:Y16"/>
    <mergeCell ref="Z16:AB16"/>
    <mergeCell ref="K16:M16"/>
    <mergeCell ref="N16:P16"/>
    <mergeCell ref="Q16:S16"/>
    <mergeCell ref="T16:V16"/>
    <mergeCell ref="B70:B82"/>
    <mergeCell ref="B18:B30"/>
    <mergeCell ref="B31:B43"/>
    <mergeCell ref="B44:B56"/>
    <mergeCell ref="B16:G16"/>
    <mergeCell ref="H16:J16"/>
    <mergeCell ref="B83:B95"/>
    <mergeCell ref="B96:B110"/>
    <mergeCell ref="D7:E7"/>
    <mergeCell ref="D10:E10"/>
    <mergeCell ref="D11:E11"/>
    <mergeCell ref="D12:E12"/>
    <mergeCell ref="D9:E9"/>
    <mergeCell ref="D8:E8"/>
    <mergeCell ref="B57:B69"/>
    <mergeCell ref="B15:G15"/>
  </mergeCells>
  <dataValidations count="1">
    <dataValidation type="list" allowBlank="1" showInputMessage="1" showErrorMessage="1" sqref="D12:F12" xr:uid="{337DB8AB-B0AD-4C83-B00F-F1D315064EF9}">
      <formula1>INDIRECT(D11)</formula1>
    </dataValidation>
  </dataValidations>
  <hyperlinks>
    <hyperlink ref="AD2" location="'Data Requirements'!A1" display="BACK" xr:uid="{0EC99345-26D3-4589-8C14-DF632B935DB3}"/>
  </hyperlink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3"/>
  <sheetViews>
    <sheetView workbookViewId="0"/>
  </sheetViews>
  <sheetFormatPr defaultColWidth="11.42578125" defaultRowHeight="12.75" x14ac:dyDescent="0.2"/>
  <cols>
    <col min="1" max="1" width="2.7109375" style="174" customWidth="1"/>
    <col min="2" max="2" width="14.5703125" style="174" customWidth="1"/>
    <col min="3" max="3" width="8.42578125" style="174" customWidth="1"/>
    <col min="4" max="11" width="13.7109375" style="174" customWidth="1"/>
    <col min="12" max="13" width="11.42578125" style="174"/>
    <col min="14" max="14" width="7.7109375" style="174" customWidth="1"/>
    <col min="15"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5" ht="13.5" thickBot="1" x14ac:dyDescent="0.25"/>
    <row r="2" spans="1:15" ht="47.45" customHeight="1" thickBot="1" x14ac:dyDescent="0.25">
      <c r="B2" s="390" t="s">
        <v>220</v>
      </c>
      <c r="C2" s="391"/>
      <c r="D2" s="391"/>
      <c r="E2" s="391"/>
      <c r="F2" s="391"/>
      <c r="G2" s="391"/>
      <c r="H2" s="391"/>
      <c r="I2" s="391"/>
      <c r="J2" s="391"/>
      <c r="K2" s="391"/>
      <c r="L2" s="391"/>
      <c r="M2" s="392"/>
      <c r="N2" s="240" t="s">
        <v>20</v>
      </c>
    </row>
    <row r="3" spans="1:15" ht="27" thickBot="1" x14ac:dyDescent="0.45">
      <c r="C3" s="176"/>
      <c r="D3" s="176"/>
      <c r="E3" s="176"/>
      <c r="F3" s="176"/>
      <c r="G3" s="176"/>
    </row>
    <row r="4" spans="1:15" s="172" customFormat="1" x14ac:dyDescent="0.2">
      <c r="B4" s="406" t="s">
        <v>105</v>
      </c>
      <c r="C4" s="407"/>
      <c r="D4" s="407"/>
      <c r="E4" s="407"/>
      <c r="F4" s="407"/>
      <c r="G4" s="407"/>
      <c r="H4" s="407"/>
      <c r="I4" s="407"/>
      <c r="J4" s="407"/>
      <c r="K4" s="407"/>
      <c r="L4" s="407"/>
      <c r="M4" s="408"/>
    </row>
    <row r="5" spans="1:15" s="172" customFormat="1" ht="30" customHeight="1" thickBot="1" x14ac:dyDescent="0.25">
      <c r="B5" s="409" t="s">
        <v>106</v>
      </c>
      <c r="C5" s="410"/>
      <c r="D5" s="410"/>
      <c r="E5" s="410"/>
      <c r="F5" s="410"/>
      <c r="G5" s="410"/>
      <c r="H5" s="410"/>
      <c r="I5" s="410"/>
      <c r="J5" s="410"/>
      <c r="K5" s="410"/>
      <c r="L5" s="410"/>
      <c r="M5" s="411"/>
    </row>
    <row r="6" spans="1:15" s="173" customFormat="1" x14ac:dyDescent="0.2">
      <c r="I6" s="175"/>
      <c r="L6" s="172"/>
      <c r="M6" s="172"/>
      <c r="N6" s="172"/>
      <c r="O6" s="172"/>
    </row>
    <row r="7" spans="1:15" s="173" customFormat="1" x14ac:dyDescent="0.2">
      <c r="C7" s="177" t="s">
        <v>107</v>
      </c>
      <c r="D7" s="404">
        <f>Header!$D$4</f>
        <v>0</v>
      </c>
      <c r="E7" s="405"/>
      <c r="F7" s="179"/>
      <c r="M7" s="172"/>
    </row>
    <row r="8" spans="1:15" s="173" customFormat="1" x14ac:dyDescent="0.2">
      <c r="C8" s="177" t="s">
        <v>4</v>
      </c>
      <c r="D8" s="404">
        <f>Header!$D$5</f>
        <v>0</v>
      </c>
      <c r="E8" s="405"/>
      <c r="F8" s="179" t="s">
        <v>108</v>
      </c>
    </row>
    <row r="9" spans="1:15" s="173" customFormat="1" x14ac:dyDescent="0.2">
      <c r="C9" s="177" t="s">
        <v>5</v>
      </c>
      <c r="D9" s="404">
        <f>Header!$D$6</f>
        <v>0</v>
      </c>
      <c r="E9" s="405"/>
      <c r="F9" s="179"/>
    </row>
    <row r="10" spans="1:15" s="173" customFormat="1" x14ac:dyDescent="0.2">
      <c r="C10" s="177" t="s">
        <v>109</v>
      </c>
      <c r="D10" s="404">
        <f>YEAR(Header!$D$11)</f>
        <v>1900</v>
      </c>
      <c r="E10" s="405"/>
      <c r="F10" s="179"/>
    </row>
    <row r="11" spans="1:15" s="173" customFormat="1" x14ac:dyDescent="0.2">
      <c r="C11" s="177" t="s">
        <v>14</v>
      </c>
      <c r="D11" s="404">
        <f>Header!$D$15</f>
        <v>0</v>
      </c>
      <c r="E11" s="405"/>
      <c r="F11" s="179"/>
    </row>
    <row r="12" spans="1:15" s="173" customFormat="1" x14ac:dyDescent="0.2">
      <c r="C12" s="177" t="s">
        <v>110</v>
      </c>
      <c r="D12" s="384"/>
      <c r="E12" s="386"/>
      <c r="F12" s="179"/>
    </row>
    <row r="13" spans="1:15" s="173" customFormat="1" ht="13.5" thickBot="1" x14ac:dyDescent="0.25"/>
    <row r="14" spans="1:15" s="173" customFormat="1" ht="13.5" thickBot="1" x14ac:dyDescent="0.25">
      <c r="A14" s="174"/>
      <c r="C14" s="180"/>
      <c r="D14" s="94" t="s">
        <v>200</v>
      </c>
      <c r="E14" s="95" t="s">
        <v>201</v>
      </c>
      <c r="F14" s="95" t="s">
        <v>202</v>
      </c>
      <c r="G14" s="95" t="s">
        <v>203</v>
      </c>
      <c r="H14" s="95" t="s">
        <v>204</v>
      </c>
      <c r="I14" s="95" t="s">
        <v>205</v>
      </c>
      <c r="J14" s="95" t="s">
        <v>206</v>
      </c>
      <c r="K14" s="95" t="s">
        <v>221</v>
      </c>
      <c r="L14" s="95" t="s">
        <v>222</v>
      </c>
      <c r="M14" s="96" t="s">
        <v>223</v>
      </c>
    </row>
    <row r="15" spans="1:15" s="173" customFormat="1" ht="13.5" thickBot="1" x14ac:dyDescent="0.25">
      <c r="A15" s="174"/>
      <c r="B15" s="444" t="s">
        <v>112</v>
      </c>
      <c r="C15" s="202">
        <f t="shared" ref="C15:C16" si="0">C16-1</f>
        <v>1890</v>
      </c>
      <c r="D15" s="220"/>
      <c r="E15" s="221"/>
      <c r="F15" s="221"/>
      <c r="G15" s="221"/>
      <c r="H15" s="221"/>
      <c r="I15" s="221"/>
      <c r="J15" s="221"/>
      <c r="K15" s="221"/>
      <c r="L15" s="221"/>
      <c r="M15" s="61"/>
    </row>
    <row r="16" spans="1:15" s="173" customFormat="1" ht="13.5" thickBot="1" x14ac:dyDescent="0.25">
      <c r="A16" s="174"/>
      <c r="B16" s="445"/>
      <c r="C16" s="203">
        <f t="shared" si="0"/>
        <v>1891</v>
      </c>
      <c r="D16" s="222"/>
      <c r="E16" s="223"/>
      <c r="F16" s="223"/>
      <c r="G16" s="223"/>
      <c r="H16" s="223"/>
      <c r="I16" s="223"/>
      <c r="J16" s="223"/>
      <c r="K16" s="223"/>
      <c r="L16" s="224"/>
      <c r="M16" s="225"/>
    </row>
    <row r="17" spans="1:13" s="173" customFormat="1" ht="13.5" thickBot="1" x14ac:dyDescent="0.25">
      <c r="A17" s="174"/>
      <c r="B17" s="445"/>
      <c r="C17" s="203">
        <f t="shared" ref="C17:C23" si="1">C18-1</f>
        <v>1892</v>
      </c>
      <c r="D17" s="222"/>
      <c r="E17" s="223"/>
      <c r="F17" s="223"/>
      <c r="G17" s="223"/>
      <c r="H17" s="223"/>
      <c r="I17" s="223"/>
      <c r="J17" s="223"/>
      <c r="K17" s="224"/>
      <c r="L17" s="225"/>
      <c r="M17" s="225"/>
    </row>
    <row r="18" spans="1:13" s="173" customFormat="1" ht="13.5" thickBot="1" x14ac:dyDescent="0.25">
      <c r="A18" s="174"/>
      <c r="B18" s="445"/>
      <c r="C18" s="203">
        <f t="shared" si="1"/>
        <v>1893</v>
      </c>
      <c r="D18" s="222"/>
      <c r="E18" s="223"/>
      <c r="F18" s="223"/>
      <c r="G18" s="223"/>
      <c r="H18" s="223"/>
      <c r="I18" s="223"/>
      <c r="J18" s="224"/>
      <c r="K18" s="225"/>
      <c r="L18" s="225"/>
      <c r="M18" s="225"/>
    </row>
    <row r="19" spans="1:13" s="173" customFormat="1" ht="13.5" thickBot="1" x14ac:dyDescent="0.25">
      <c r="A19" s="174"/>
      <c r="B19" s="445"/>
      <c r="C19" s="203">
        <f t="shared" si="1"/>
        <v>1894</v>
      </c>
      <c r="D19" s="222"/>
      <c r="E19" s="223"/>
      <c r="F19" s="223"/>
      <c r="G19" s="223"/>
      <c r="H19" s="223"/>
      <c r="I19" s="224"/>
      <c r="J19" s="225"/>
      <c r="K19" s="225"/>
      <c r="L19" s="225"/>
      <c r="M19" s="225"/>
    </row>
    <row r="20" spans="1:13" s="173" customFormat="1" ht="13.5" thickBot="1" x14ac:dyDescent="0.25">
      <c r="A20" s="174"/>
      <c r="B20" s="445"/>
      <c r="C20" s="203">
        <f t="shared" si="1"/>
        <v>1895</v>
      </c>
      <c r="D20" s="226"/>
      <c r="E20" s="227"/>
      <c r="F20" s="227"/>
      <c r="G20" s="227"/>
      <c r="H20" s="224"/>
      <c r="I20" s="228"/>
      <c r="J20" s="228"/>
      <c r="K20" s="228"/>
      <c r="L20" s="228"/>
      <c r="M20" s="228"/>
    </row>
    <row r="21" spans="1:13" s="173" customFormat="1" ht="13.5" thickBot="1" x14ac:dyDescent="0.25">
      <c r="A21" s="174"/>
      <c r="B21" s="445"/>
      <c r="C21" s="203">
        <f t="shared" si="1"/>
        <v>1896</v>
      </c>
      <c r="D21" s="226"/>
      <c r="E21" s="227"/>
      <c r="F21" s="227"/>
      <c r="G21" s="224"/>
      <c r="H21" s="228"/>
      <c r="I21" s="228"/>
      <c r="J21" s="228"/>
      <c r="K21" s="228"/>
      <c r="L21" s="228"/>
      <c r="M21" s="228"/>
    </row>
    <row r="22" spans="1:13" s="173" customFormat="1" ht="13.5" thickBot="1" x14ac:dyDescent="0.25">
      <c r="A22" s="174"/>
      <c r="B22" s="445"/>
      <c r="C22" s="203">
        <f t="shared" si="1"/>
        <v>1897</v>
      </c>
      <c r="D22" s="226"/>
      <c r="E22" s="227"/>
      <c r="F22" s="224"/>
      <c r="G22" s="228"/>
      <c r="H22" s="228"/>
      <c r="I22" s="228"/>
      <c r="J22" s="228"/>
      <c r="K22" s="228"/>
      <c r="L22" s="228"/>
      <c r="M22" s="228"/>
    </row>
    <row r="23" spans="1:13" s="173" customFormat="1" ht="13.5" thickBot="1" x14ac:dyDescent="0.25">
      <c r="A23" s="174"/>
      <c r="B23" s="445"/>
      <c r="C23" s="203">
        <f t="shared" si="1"/>
        <v>1898</v>
      </c>
      <c r="D23" s="226"/>
      <c r="E23" s="224"/>
      <c r="F23" s="228"/>
      <c r="G23" s="228"/>
      <c r="H23" s="228"/>
      <c r="I23" s="228"/>
      <c r="J23" s="228"/>
      <c r="K23" s="228"/>
      <c r="L23" s="228"/>
      <c r="M23" s="228"/>
    </row>
    <row r="24" spans="1:13" s="173" customFormat="1" ht="13.5" thickBot="1" x14ac:dyDescent="0.25">
      <c r="A24" s="174"/>
      <c r="B24" s="446"/>
      <c r="C24" s="204">
        <f>$D$10-1</f>
        <v>1899</v>
      </c>
      <c r="D24" s="224"/>
      <c r="E24" s="228"/>
      <c r="F24" s="228"/>
      <c r="G24" s="228"/>
      <c r="H24" s="228"/>
      <c r="I24" s="228"/>
      <c r="J24" s="228"/>
      <c r="K24" s="228"/>
      <c r="L24" s="228"/>
      <c r="M24" s="228"/>
    </row>
    <row r="25" spans="1:13" s="173" customFormat="1" ht="13.5" thickBot="1" x14ac:dyDescent="0.25">
      <c r="A25" s="174"/>
      <c r="B25" s="180"/>
      <c r="C25" s="180"/>
      <c r="D25" s="181"/>
      <c r="E25" s="181"/>
      <c r="F25" s="181"/>
      <c r="G25" s="181"/>
      <c r="H25" s="181"/>
      <c r="I25" s="181"/>
      <c r="J25" s="180"/>
      <c r="K25" s="180"/>
      <c r="L25" s="180"/>
      <c r="M25" s="180"/>
    </row>
    <row r="26" spans="1:13" s="173" customFormat="1" ht="13.5" thickBot="1" x14ac:dyDescent="0.25">
      <c r="A26" s="174"/>
      <c r="C26" s="180"/>
      <c r="D26" s="94" t="s">
        <v>200</v>
      </c>
      <c r="E26" s="95" t="s">
        <v>201</v>
      </c>
      <c r="F26" s="95" t="s">
        <v>202</v>
      </c>
      <c r="G26" s="95" t="s">
        <v>203</v>
      </c>
      <c r="H26" s="95" t="s">
        <v>204</v>
      </c>
      <c r="I26" s="95" t="s">
        <v>205</v>
      </c>
      <c r="J26" s="95" t="s">
        <v>206</v>
      </c>
      <c r="K26" s="95" t="s">
        <v>221</v>
      </c>
      <c r="L26" s="95" t="s">
        <v>222</v>
      </c>
      <c r="M26" s="96" t="s">
        <v>223</v>
      </c>
    </row>
    <row r="27" spans="1:13" s="173" customFormat="1" ht="12.95" customHeight="1" thickBot="1" x14ac:dyDescent="0.25">
      <c r="A27" s="174"/>
      <c r="B27" s="447" t="s">
        <v>224</v>
      </c>
      <c r="C27" s="202">
        <f t="shared" ref="C27:C35" si="2">C28-1</f>
        <v>1890</v>
      </c>
      <c r="D27" s="220"/>
      <c r="E27" s="221"/>
      <c r="F27" s="221"/>
      <c r="G27" s="221"/>
      <c r="H27" s="221"/>
      <c r="I27" s="221"/>
      <c r="J27" s="221"/>
      <c r="K27" s="221"/>
      <c r="L27" s="221"/>
      <c r="M27" s="61"/>
    </row>
    <row r="28" spans="1:13" s="173" customFormat="1" ht="13.5" thickBot="1" x14ac:dyDescent="0.25">
      <c r="A28" s="174"/>
      <c r="B28" s="448"/>
      <c r="C28" s="203">
        <f t="shared" si="2"/>
        <v>1891</v>
      </c>
      <c r="D28" s="222"/>
      <c r="E28" s="223"/>
      <c r="F28" s="223"/>
      <c r="G28" s="223"/>
      <c r="H28" s="223"/>
      <c r="I28" s="223"/>
      <c r="J28" s="223"/>
      <c r="K28" s="223"/>
      <c r="L28" s="224"/>
      <c r="M28" s="225"/>
    </row>
    <row r="29" spans="1:13" s="173" customFormat="1" ht="13.5" thickBot="1" x14ac:dyDescent="0.25">
      <c r="A29" s="174"/>
      <c r="B29" s="448"/>
      <c r="C29" s="203">
        <f t="shared" si="2"/>
        <v>1892</v>
      </c>
      <c r="D29" s="222"/>
      <c r="E29" s="223"/>
      <c r="F29" s="223"/>
      <c r="G29" s="223"/>
      <c r="H29" s="223"/>
      <c r="I29" s="223"/>
      <c r="J29" s="223"/>
      <c r="K29" s="224"/>
      <c r="L29" s="225"/>
      <c r="M29" s="225"/>
    </row>
    <row r="30" spans="1:13" s="173" customFormat="1" ht="13.5" thickBot="1" x14ac:dyDescent="0.25">
      <c r="A30" s="174"/>
      <c r="B30" s="448"/>
      <c r="C30" s="203">
        <f t="shared" si="2"/>
        <v>1893</v>
      </c>
      <c r="D30" s="222"/>
      <c r="E30" s="223"/>
      <c r="F30" s="223"/>
      <c r="G30" s="223"/>
      <c r="H30" s="223"/>
      <c r="I30" s="223"/>
      <c r="J30" s="224"/>
      <c r="K30" s="225"/>
      <c r="L30" s="225"/>
      <c r="M30" s="225"/>
    </row>
    <row r="31" spans="1:13" s="173" customFormat="1" ht="13.5" thickBot="1" x14ac:dyDescent="0.25">
      <c r="A31" s="174"/>
      <c r="B31" s="448"/>
      <c r="C31" s="203">
        <f t="shared" si="2"/>
        <v>1894</v>
      </c>
      <c r="D31" s="222"/>
      <c r="E31" s="223"/>
      <c r="F31" s="223"/>
      <c r="G31" s="223"/>
      <c r="H31" s="223"/>
      <c r="I31" s="224"/>
      <c r="J31" s="225"/>
      <c r="K31" s="225"/>
      <c r="L31" s="225"/>
      <c r="M31" s="225"/>
    </row>
    <row r="32" spans="1:13" s="173" customFormat="1" ht="13.5" thickBot="1" x14ac:dyDescent="0.25">
      <c r="A32" s="174"/>
      <c r="B32" s="448"/>
      <c r="C32" s="203">
        <f t="shared" si="2"/>
        <v>1895</v>
      </c>
      <c r="D32" s="226"/>
      <c r="E32" s="227"/>
      <c r="F32" s="227"/>
      <c r="G32" s="227"/>
      <c r="H32" s="224"/>
      <c r="I32" s="228"/>
      <c r="J32" s="228"/>
      <c r="K32" s="228"/>
      <c r="L32" s="228"/>
      <c r="M32" s="228"/>
    </row>
    <row r="33" spans="1:13" s="173" customFormat="1" ht="13.5" thickBot="1" x14ac:dyDescent="0.25">
      <c r="A33" s="174"/>
      <c r="B33" s="448"/>
      <c r="C33" s="203">
        <f t="shared" si="2"/>
        <v>1896</v>
      </c>
      <c r="D33" s="226"/>
      <c r="E33" s="227"/>
      <c r="F33" s="227"/>
      <c r="G33" s="224"/>
      <c r="H33" s="228"/>
      <c r="I33" s="228"/>
      <c r="J33" s="228"/>
      <c r="K33" s="228"/>
      <c r="L33" s="228"/>
      <c r="M33" s="228"/>
    </row>
    <row r="34" spans="1:13" s="173" customFormat="1" ht="13.5" thickBot="1" x14ac:dyDescent="0.25">
      <c r="A34" s="174"/>
      <c r="B34" s="448"/>
      <c r="C34" s="203">
        <f t="shared" si="2"/>
        <v>1897</v>
      </c>
      <c r="D34" s="226"/>
      <c r="E34" s="227"/>
      <c r="F34" s="224"/>
      <c r="G34" s="228"/>
      <c r="H34" s="228"/>
      <c r="I34" s="228"/>
      <c r="J34" s="228"/>
      <c r="K34" s="228"/>
      <c r="L34" s="228"/>
      <c r="M34" s="228"/>
    </row>
    <row r="35" spans="1:13" s="173" customFormat="1" ht="13.5" thickBot="1" x14ac:dyDescent="0.25">
      <c r="A35" s="174"/>
      <c r="B35" s="448"/>
      <c r="C35" s="203">
        <f t="shared" si="2"/>
        <v>1898</v>
      </c>
      <c r="D35" s="226"/>
      <c r="E35" s="224"/>
      <c r="F35" s="228"/>
      <c r="G35" s="228"/>
      <c r="H35" s="228"/>
      <c r="I35" s="228"/>
      <c r="J35" s="228"/>
      <c r="K35" s="228"/>
      <c r="L35" s="228"/>
      <c r="M35" s="228"/>
    </row>
    <row r="36" spans="1:13" s="173" customFormat="1" ht="13.5" thickBot="1" x14ac:dyDescent="0.25">
      <c r="A36" s="174"/>
      <c r="B36" s="449"/>
      <c r="C36" s="204">
        <f>$D$10-1</f>
        <v>1899</v>
      </c>
      <c r="D36" s="224"/>
      <c r="E36" s="228"/>
      <c r="F36" s="228"/>
      <c r="G36" s="228"/>
      <c r="H36" s="228"/>
      <c r="I36" s="228"/>
      <c r="J36" s="228"/>
      <c r="K36" s="228"/>
      <c r="L36" s="228"/>
      <c r="M36" s="228"/>
    </row>
    <row r="37" spans="1:13" s="173" customFormat="1" ht="13.5" thickBot="1" x14ac:dyDescent="0.25">
      <c r="A37" s="174"/>
      <c r="C37" s="180"/>
      <c r="D37" s="200"/>
      <c r="E37" s="200"/>
      <c r="F37" s="200"/>
      <c r="G37" s="200"/>
      <c r="H37" s="200"/>
      <c r="I37" s="200"/>
      <c r="J37" s="200"/>
      <c r="K37" s="200"/>
      <c r="L37" s="180"/>
      <c r="M37" s="180"/>
    </row>
    <row r="38" spans="1:13" s="173" customFormat="1" ht="13.5" thickBot="1" x14ac:dyDescent="0.25">
      <c r="A38" s="174"/>
      <c r="C38" s="180"/>
      <c r="D38" s="94" t="s">
        <v>200</v>
      </c>
      <c r="E38" s="95" t="s">
        <v>201</v>
      </c>
      <c r="F38" s="95" t="s">
        <v>202</v>
      </c>
      <c r="G38" s="95" t="s">
        <v>203</v>
      </c>
      <c r="H38" s="95" t="s">
        <v>204</v>
      </c>
      <c r="I38" s="95" t="s">
        <v>205</v>
      </c>
      <c r="J38" s="95" t="s">
        <v>206</v>
      </c>
      <c r="K38" s="95" t="s">
        <v>221</v>
      </c>
      <c r="L38" s="95" t="s">
        <v>222</v>
      </c>
      <c r="M38" s="96" t="s">
        <v>223</v>
      </c>
    </row>
    <row r="39" spans="1:13" s="173" customFormat="1" ht="12.95" customHeight="1" thickBot="1" x14ac:dyDescent="0.25">
      <c r="A39" s="174"/>
      <c r="B39" s="447" t="s">
        <v>225</v>
      </c>
      <c r="C39" s="202">
        <f t="shared" ref="C39:C47" si="3">C40-1</f>
        <v>1890</v>
      </c>
      <c r="D39" s="220"/>
      <c r="E39" s="221"/>
      <c r="F39" s="221"/>
      <c r="G39" s="221"/>
      <c r="H39" s="221"/>
      <c r="I39" s="221"/>
      <c r="J39" s="221"/>
      <c r="K39" s="221"/>
      <c r="L39" s="221"/>
      <c r="M39" s="61"/>
    </row>
    <row r="40" spans="1:13" s="173" customFormat="1" ht="13.5" thickBot="1" x14ac:dyDescent="0.25">
      <c r="A40" s="174"/>
      <c r="B40" s="448"/>
      <c r="C40" s="203">
        <f t="shared" si="3"/>
        <v>1891</v>
      </c>
      <c r="D40" s="222"/>
      <c r="E40" s="223"/>
      <c r="F40" s="223"/>
      <c r="G40" s="223"/>
      <c r="H40" s="223"/>
      <c r="I40" s="223"/>
      <c r="J40" s="223"/>
      <c r="K40" s="223"/>
      <c r="L40" s="224"/>
      <c r="M40" s="225"/>
    </row>
    <row r="41" spans="1:13" ht="13.5" thickBot="1" x14ac:dyDescent="0.25">
      <c r="B41" s="448"/>
      <c r="C41" s="203">
        <f t="shared" si="3"/>
        <v>1892</v>
      </c>
      <c r="D41" s="222"/>
      <c r="E41" s="223"/>
      <c r="F41" s="223"/>
      <c r="G41" s="223"/>
      <c r="H41" s="223"/>
      <c r="I41" s="223"/>
      <c r="J41" s="223"/>
      <c r="K41" s="224"/>
      <c r="L41" s="225"/>
      <c r="M41" s="225"/>
    </row>
    <row r="42" spans="1:13" ht="13.5" thickBot="1" x14ac:dyDescent="0.25">
      <c r="B42" s="448"/>
      <c r="C42" s="203">
        <f t="shared" si="3"/>
        <v>1893</v>
      </c>
      <c r="D42" s="222"/>
      <c r="E42" s="223"/>
      <c r="F42" s="223"/>
      <c r="G42" s="223"/>
      <c r="H42" s="223"/>
      <c r="I42" s="223"/>
      <c r="J42" s="224"/>
      <c r="K42" s="225"/>
      <c r="L42" s="225"/>
      <c r="M42" s="225"/>
    </row>
    <row r="43" spans="1:13" ht="13.5" thickBot="1" x14ac:dyDescent="0.25">
      <c r="B43" s="448"/>
      <c r="C43" s="203">
        <f t="shared" si="3"/>
        <v>1894</v>
      </c>
      <c r="D43" s="222"/>
      <c r="E43" s="223"/>
      <c r="F43" s="223"/>
      <c r="G43" s="223"/>
      <c r="H43" s="223"/>
      <c r="I43" s="224"/>
      <c r="J43" s="225"/>
      <c r="K43" s="225"/>
      <c r="L43" s="225"/>
      <c r="M43" s="225"/>
    </row>
    <row r="44" spans="1:13" ht="13.5" thickBot="1" x14ac:dyDescent="0.25">
      <c r="B44" s="448"/>
      <c r="C44" s="203">
        <f t="shared" si="3"/>
        <v>1895</v>
      </c>
      <c r="D44" s="226"/>
      <c r="E44" s="227"/>
      <c r="F44" s="227"/>
      <c r="G44" s="227"/>
      <c r="H44" s="224"/>
      <c r="I44" s="228"/>
      <c r="J44" s="228"/>
      <c r="K44" s="228"/>
      <c r="L44" s="228"/>
      <c r="M44" s="228"/>
    </row>
    <row r="45" spans="1:13" ht="13.5" thickBot="1" x14ac:dyDescent="0.25">
      <c r="B45" s="448"/>
      <c r="C45" s="203">
        <f t="shared" si="3"/>
        <v>1896</v>
      </c>
      <c r="D45" s="226"/>
      <c r="E45" s="227"/>
      <c r="F45" s="227"/>
      <c r="G45" s="224"/>
      <c r="H45" s="228"/>
      <c r="I45" s="228"/>
      <c r="J45" s="228"/>
      <c r="K45" s="228"/>
      <c r="L45" s="228"/>
      <c r="M45" s="228"/>
    </row>
    <row r="46" spans="1:13" ht="13.5" thickBot="1" x14ac:dyDescent="0.25">
      <c r="B46" s="448"/>
      <c r="C46" s="203">
        <f t="shared" si="3"/>
        <v>1897</v>
      </c>
      <c r="D46" s="226"/>
      <c r="E46" s="227"/>
      <c r="F46" s="224"/>
      <c r="G46" s="228"/>
      <c r="H46" s="228"/>
      <c r="I46" s="228"/>
      <c r="J46" s="228"/>
      <c r="K46" s="228"/>
      <c r="L46" s="228"/>
      <c r="M46" s="228"/>
    </row>
    <row r="47" spans="1:13" ht="13.5" thickBot="1" x14ac:dyDescent="0.25">
      <c r="B47" s="448"/>
      <c r="C47" s="203">
        <f t="shared" si="3"/>
        <v>1898</v>
      </c>
      <c r="D47" s="226"/>
      <c r="E47" s="224"/>
      <c r="F47" s="228"/>
      <c r="G47" s="228"/>
      <c r="H47" s="228"/>
      <c r="I47" s="228"/>
      <c r="J47" s="228"/>
      <c r="K47" s="228"/>
      <c r="L47" s="228"/>
      <c r="M47" s="228"/>
    </row>
    <row r="48" spans="1:13" ht="13.5" thickBot="1" x14ac:dyDescent="0.25">
      <c r="B48" s="449"/>
      <c r="C48" s="204">
        <f>$D$10-1</f>
        <v>1899</v>
      </c>
      <c r="D48" s="224"/>
      <c r="E48" s="228"/>
      <c r="F48" s="228"/>
      <c r="G48" s="228"/>
      <c r="H48" s="228"/>
      <c r="I48" s="228"/>
      <c r="J48" s="228"/>
      <c r="K48" s="228"/>
      <c r="L48" s="228"/>
      <c r="M48" s="228"/>
    </row>
    <row r="49" spans="2:13" ht="13.5" thickBot="1" x14ac:dyDescent="0.25">
      <c r="B49" s="182"/>
      <c r="C49" s="182"/>
      <c r="D49" s="198"/>
      <c r="E49" s="198"/>
      <c r="F49" s="198"/>
      <c r="G49" s="198"/>
      <c r="H49" s="198"/>
      <c r="I49" s="198"/>
      <c r="J49" s="198"/>
      <c r="K49" s="180"/>
      <c r="L49" s="180"/>
      <c r="M49" s="180"/>
    </row>
    <row r="50" spans="2:13" ht="13.5" thickBot="1" x14ac:dyDescent="0.25">
      <c r="B50" s="173"/>
      <c r="C50" s="180"/>
      <c r="D50" s="94" t="s">
        <v>200</v>
      </c>
      <c r="E50" s="95" t="s">
        <v>201</v>
      </c>
      <c r="F50" s="95" t="s">
        <v>202</v>
      </c>
      <c r="G50" s="95" t="s">
        <v>203</v>
      </c>
      <c r="H50" s="95" t="s">
        <v>204</v>
      </c>
      <c r="I50" s="95" t="s">
        <v>205</v>
      </c>
      <c r="J50" s="95" t="s">
        <v>206</v>
      </c>
      <c r="K50" s="95" t="s">
        <v>221</v>
      </c>
      <c r="L50" s="95" t="s">
        <v>222</v>
      </c>
      <c r="M50" s="96" t="s">
        <v>223</v>
      </c>
    </row>
    <row r="51" spans="2:13" ht="12.95" customHeight="1" thickBot="1" x14ac:dyDescent="0.25">
      <c r="B51" s="447" t="s">
        <v>226</v>
      </c>
      <c r="C51" s="202">
        <f t="shared" ref="C51:C59" si="4">C52-1</f>
        <v>1890</v>
      </c>
      <c r="D51" s="220"/>
      <c r="E51" s="221"/>
      <c r="F51" s="221"/>
      <c r="G51" s="221"/>
      <c r="H51" s="221"/>
      <c r="I51" s="221"/>
      <c r="J51" s="221"/>
      <c r="K51" s="221"/>
      <c r="L51" s="221"/>
      <c r="M51" s="61"/>
    </row>
    <row r="52" spans="2:13" ht="13.5" thickBot="1" x14ac:dyDescent="0.25">
      <c r="B52" s="448"/>
      <c r="C52" s="203">
        <f t="shared" si="4"/>
        <v>1891</v>
      </c>
      <c r="D52" s="222"/>
      <c r="E52" s="223"/>
      <c r="F52" s="223"/>
      <c r="G52" s="223"/>
      <c r="H52" s="223"/>
      <c r="I52" s="223"/>
      <c r="J52" s="223"/>
      <c r="K52" s="223"/>
      <c r="L52" s="224"/>
      <c r="M52" s="225"/>
    </row>
    <row r="53" spans="2:13" ht="13.5" thickBot="1" x14ac:dyDescent="0.25">
      <c r="B53" s="448"/>
      <c r="C53" s="203">
        <f t="shared" si="4"/>
        <v>1892</v>
      </c>
      <c r="D53" s="222"/>
      <c r="E53" s="223"/>
      <c r="F53" s="223"/>
      <c r="G53" s="223"/>
      <c r="H53" s="223"/>
      <c r="I53" s="223"/>
      <c r="J53" s="223"/>
      <c r="K53" s="224"/>
      <c r="L53" s="225"/>
      <c r="M53" s="225"/>
    </row>
    <row r="54" spans="2:13" ht="13.5" thickBot="1" x14ac:dyDescent="0.25">
      <c r="B54" s="448"/>
      <c r="C54" s="203">
        <f t="shared" si="4"/>
        <v>1893</v>
      </c>
      <c r="D54" s="222"/>
      <c r="E54" s="223"/>
      <c r="F54" s="223"/>
      <c r="G54" s="223"/>
      <c r="H54" s="223"/>
      <c r="I54" s="223"/>
      <c r="J54" s="224"/>
      <c r="K54" s="225"/>
      <c r="L54" s="225"/>
      <c r="M54" s="225"/>
    </row>
    <row r="55" spans="2:13" ht="13.5" thickBot="1" x14ac:dyDescent="0.25">
      <c r="B55" s="448"/>
      <c r="C55" s="203">
        <f t="shared" si="4"/>
        <v>1894</v>
      </c>
      <c r="D55" s="222"/>
      <c r="E55" s="223"/>
      <c r="F55" s="223"/>
      <c r="G55" s="223"/>
      <c r="H55" s="223"/>
      <c r="I55" s="224"/>
      <c r="J55" s="225"/>
      <c r="K55" s="225"/>
      <c r="L55" s="225"/>
      <c r="M55" s="225"/>
    </row>
    <row r="56" spans="2:13" ht="13.5" thickBot="1" x14ac:dyDescent="0.25">
      <c r="B56" s="448"/>
      <c r="C56" s="203">
        <f t="shared" si="4"/>
        <v>1895</v>
      </c>
      <c r="D56" s="226"/>
      <c r="E56" s="227"/>
      <c r="F56" s="227"/>
      <c r="G56" s="227"/>
      <c r="H56" s="224"/>
      <c r="I56" s="228"/>
      <c r="J56" s="228"/>
      <c r="K56" s="228"/>
      <c r="L56" s="228"/>
      <c r="M56" s="228"/>
    </row>
    <row r="57" spans="2:13" ht="13.5" thickBot="1" x14ac:dyDescent="0.25">
      <c r="B57" s="448"/>
      <c r="C57" s="203">
        <f t="shared" si="4"/>
        <v>1896</v>
      </c>
      <c r="D57" s="226"/>
      <c r="E57" s="227"/>
      <c r="F57" s="227"/>
      <c r="G57" s="224"/>
      <c r="H57" s="228"/>
      <c r="I57" s="228"/>
      <c r="J57" s="228"/>
      <c r="K57" s="228"/>
      <c r="L57" s="228"/>
      <c r="M57" s="228"/>
    </row>
    <row r="58" spans="2:13" ht="13.5" thickBot="1" x14ac:dyDescent="0.25">
      <c r="B58" s="448"/>
      <c r="C58" s="203">
        <f t="shared" si="4"/>
        <v>1897</v>
      </c>
      <c r="D58" s="226"/>
      <c r="E58" s="227"/>
      <c r="F58" s="224"/>
      <c r="G58" s="228"/>
      <c r="H58" s="228"/>
      <c r="I58" s="228"/>
      <c r="J58" s="228"/>
      <c r="K58" s="228"/>
      <c r="L58" s="228"/>
      <c r="M58" s="228"/>
    </row>
    <row r="59" spans="2:13" ht="13.5" thickBot="1" x14ac:dyDescent="0.25">
      <c r="B59" s="448"/>
      <c r="C59" s="203">
        <f t="shared" si="4"/>
        <v>1898</v>
      </c>
      <c r="D59" s="226"/>
      <c r="E59" s="224"/>
      <c r="F59" s="228"/>
      <c r="G59" s="228"/>
      <c r="H59" s="228"/>
      <c r="I59" s="228"/>
      <c r="J59" s="228"/>
      <c r="K59" s="228"/>
      <c r="L59" s="228"/>
      <c r="M59" s="228"/>
    </row>
    <row r="60" spans="2:13" ht="13.5" thickBot="1" x14ac:dyDescent="0.25">
      <c r="B60" s="449"/>
      <c r="C60" s="204">
        <f>$D$10-1</f>
        <v>1899</v>
      </c>
      <c r="D60" s="224"/>
      <c r="E60" s="228"/>
      <c r="F60" s="228"/>
      <c r="G60" s="228"/>
      <c r="H60" s="228"/>
      <c r="I60" s="228"/>
      <c r="J60" s="228"/>
      <c r="K60" s="228"/>
      <c r="L60" s="228"/>
      <c r="M60" s="228"/>
    </row>
    <row r="61" spans="2:13" ht="13.5" thickBot="1" x14ac:dyDescent="0.25">
      <c r="B61" s="201"/>
      <c r="C61" s="182"/>
      <c r="D61" s="198"/>
      <c r="E61" s="198"/>
      <c r="F61" s="198"/>
      <c r="G61" s="198"/>
      <c r="H61" s="198"/>
      <c r="I61" s="198"/>
      <c r="J61" s="180"/>
      <c r="K61" s="180"/>
      <c r="L61" s="180"/>
      <c r="M61" s="180"/>
    </row>
    <row r="62" spans="2:13" ht="13.5" thickBot="1" x14ac:dyDescent="0.25">
      <c r="B62" s="173"/>
      <c r="C62" s="180"/>
      <c r="D62" s="94" t="s">
        <v>200</v>
      </c>
      <c r="E62" s="95" t="s">
        <v>201</v>
      </c>
      <c r="F62" s="95" t="s">
        <v>202</v>
      </c>
      <c r="G62" s="95" t="s">
        <v>203</v>
      </c>
      <c r="H62" s="95" t="s">
        <v>204</v>
      </c>
      <c r="I62" s="95" t="s">
        <v>205</v>
      </c>
      <c r="J62" s="95" t="s">
        <v>206</v>
      </c>
      <c r="K62" s="95" t="s">
        <v>221</v>
      </c>
      <c r="L62" s="95" t="s">
        <v>222</v>
      </c>
      <c r="M62" s="96" t="s">
        <v>223</v>
      </c>
    </row>
    <row r="63" spans="2:13" ht="13.5" thickBot="1" x14ac:dyDescent="0.25">
      <c r="B63" s="444" t="s">
        <v>227</v>
      </c>
      <c r="C63" s="202">
        <f t="shared" ref="C63:C71" si="5">C64-1</f>
        <v>1890</v>
      </c>
      <c r="D63" s="207">
        <f t="shared" ref="D63:M63" si="6">D39+D51</f>
        <v>0</v>
      </c>
      <c r="E63" s="208">
        <f t="shared" si="6"/>
        <v>0</v>
      </c>
      <c r="F63" s="208">
        <f t="shared" si="6"/>
        <v>0</v>
      </c>
      <c r="G63" s="208">
        <f t="shared" si="6"/>
        <v>0</v>
      </c>
      <c r="H63" s="208">
        <f t="shared" si="6"/>
        <v>0</v>
      </c>
      <c r="I63" s="208">
        <f t="shared" si="6"/>
        <v>0</v>
      </c>
      <c r="J63" s="208">
        <f t="shared" si="6"/>
        <v>0</v>
      </c>
      <c r="K63" s="208">
        <f t="shared" si="6"/>
        <v>0</v>
      </c>
      <c r="L63" s="208">
        <f t="shared" si="6"/>
        <v>0</v>
      </c>
      <c r="M63" s="209">
        <f t="shared" si="6"/>
        <v>0</v>
      </c>
    </row>
    <row r="64" spans="2:13" ht="13.5" thickBot="1" x14ac:dyDescent="0.25">
      <c r="B64" s="445"/>
      <c r="C64" s="203">
        <f t="shared" si="5"/>
        <v>1891</v>
      </c>
      <c r="D64" s="210">
        <f t="shared" ref="D64:L64" si="7">D40+D52</f>
        <v>0</v>
      </c>
      <c r="E64" s="211">
        <f t="shared" si="7"/>
        <v>0</v>
      </c>
      <c r="F64" s="211">
        <f t="shared" si="7"/>
        <v>0</v>
      </c>
      <c r="G64" s="211">
        <f t="shared" si="7"/>
        <v>0</v>
      </c>
      <c r="H64" s="211">
        <f t="shared" si="7"/>
        <v>0</v>
      </c>
      <c r="I64" s="211">
        <f t="shared" si="7"/>
        <v>0</v>
      </c>
      <c r="J64" s="211">
        <f t="shared" si="7"/>
        <v>0</v>
      </c>
      <c r="K64" s="211">
        <f t="shared" si="7"/>
        <v>0</v>
      </c>
      <c r="L64" s="212">
        <f t="shared" si="7"/>
        <v>0</v>
      </c>
      <c r="M64" s="198"/>
    </row>
    <row r="65" spans="2:13" ht="13.5" thickBot="1" x14ac:dyDescent="0.25">
      <c r="B65" s="445"/>
      <c r="C65" s="203">
        <f t="shared" si="5"/>
        <v>1892</v>
      </c>
      <c r="D65" s="210">
        <f t="shared" ref="D65:K65" si="8">D41+D53</f>
        <v>0</v>
      </c>
      <c r="E65" s="211">
        <f t="shared" si="8"/>
        <v>0</v>
      </c>
      <c r="F65" s="211">
        <f t="shared" si="8"/>
        <v>0</v>
      </c>
      <c r="G65" s="211">
        <f t="shared" si="8"/>
        <v>0</v>
      </c>
      <c r="H65" s="211">
        <f t="shared" si="8"/>
        <v>0</v>
      </c>
      <c r="I65" s="211">
        <f t="shared" si="8"/>
        <v>0</v>
      </c>
      <c r="J65" s="211">
        <f t="shared" si="8"/>
        <v>0</v>
      </c>
      <c r="K65" s="212">
        <f t="shared" si="8"/>
        <v>0</v>
      </c>
      <c r="L65" s="198"/>
      <c r="M65" s="198"/>
    </row>
    <row r="66" spans="2:13" ht="13.5" thickBot="1" x14ac:dyDescent="0.25">
      <c r="B66" s="445"/>
      <c r="C66" s="203">
        <f t="shared" si="5"/>
        <v>1893</v>
      </c>
      <c r="D66" s="210">
        <f t="shared" ref="D66:J66" si="9">D42+D54</f>
        <v>0</v>
      </c>
      <c r="E66" s="211">
        <f t="shared" si="9"/>
        <v>0</v>
      </c>
      <c r="F66" s="211">
        <f t="shared" si="9"/>
        <v>0</v>
      </c>
      <c r="G66" s="211">
        <f t="shared" si="9"/>
        <v>0</v>
      </c>
      <c r="H66" s="211">
        <f t="shared" si="9"/>
        <v>0</v>
      </c>
      <c r="I66" s="211">
        <f t="shared" si="9"/>
        <v>0</v>
      </c>
      <c r="J66" s="212">
        <f t="shared" si="9"/>
        <v>0</v>
      </c>
      <c r="K66" s="198"/>
      <c r="L66" s="198"/>
      <c r="M66" s="198"/>
    </row>
    <row r="67" spans="2:13" ht="13.5" thickBot="1" x14ac:dyDescent="0.25">
      <c r="B67" s="445"/>
      <c r="C67" s="203">
        <f t="shared" si="5"/>
        <v>1894</v>
      </c>
      <c r="D67" s="210">
        <f t="shared" ref="D67:I67" si="10">D43+D55</f>
        <v>0</v>
      </c>
      <c r="E67" s="211">
        <f t="shared" si="10"/>
        <v>0</v>
      </c>
      <c r="F67" s="211">
        <f t="shared" si="10"/>
        <v>0</v>
      </c>
      <c r="G67" s="211">
        <f t="shared" si="10"/>
        <v>0</v>
      </c>
      <c r="H67" s="211">
        <f t="shared" si="10"/>
        <v>0</v>
      </c>
      <c r="I67" s="212">
        <f t="shared" si="10"/>
        <v>0</v>
      </c>
      <c r="J67" s="198"/>
      <c r="K67" s="198"/>
      <c r="L67" s="198"/>
      <c r="M67" s="198"/>
    </row>
    <row r="68" spans="2:13" ht="13.5" thickBot="1" x14ac:dyDescent="0.25">
      <c r="B68" s="445"/>
      <c r="C68" s="203">
        <f t="shared" si="5"/>
        <v>1895</v>
      </c>
      <c r="D68" s="213">
        <f t="shared" ref="D68:H68" si="11">D44+D56</f>
        <v>0</v>
      </c>
      <c r="E68" s="214">
        <f t="shared" si="11"/>
        <v>0</v>
      </c>
      <c r="F68" s="214">
        <f t="shared" si="11"/>
        <v>0</v>
      </c>
      <c r="G68" s="214">
        <f t="shared" si="11"/>
        <v>0</v>
      </c>
      <c r="H68" s="212">
        <f t="shared" si="11"/>
        <v>0</v>
      </c>
      <c r="I68" s="197"/>
      <c r="J68" s="197"/>
      <c r="K68" s="197"/>
      <c r="L68" s="197"/>
      <c r="M68" s="197"/>
    </row>
    <row r="69" spans="2:13" ht="13.5" thickBot="1" x14ac:dyDescent="0.25">
      <c r="B69" s="445"/>
      <c r="C69" s="203">
        <f t="shared" si="5"/>
        <v>1896</v>
      </c>
      <c r="D69" s="213">
        <f t="shared" ref="D69:G69" si="12">D45+D57</f>
        <v>0</v>
      </c>
      <c r="E69" s="214">
        <f t="shared" si="12"/>
        <v>0</v>
      </c>
      <c r="F69" s="214">
        <f t="shared" si="12"/>
        <v>0</v>
      </c>
      <c r="G69" s="212">
        <f t="shared" si="12"/>
        <v>0</v>
      </c>
      <c r="H69" s="197"/>
      <c r="I69" s="197"/>
      <c r="J69" s="197"/>
      <c r="K69" s="197"/>
      <c r="L69" s="197"/>
      <c r="M69" s="197"/>
    </row>
    <row r="70" spans="2:13" ht="13.5" thickBot="1" x14ac:dyDescent="0.25">
      <c r="B70" s="445"/>
      <c r="C70" s="203">
        <f t="shared" si="5"/>
        <v>1897</v>
      </c>
      <c r="D70" s="213">
        <f t="shared" ref="D70:F70" si="13">D46+D58</f>
        <v>0</v>
      </c>
      <c r="E70" s="214">
        <f t="shared" si="13"/>
        <v>0</v>
      </c>
      <c r="F70" s="212">
        <f t="shared" si="13"/>
        <v>0</v>
      </c>
      <c r="G70" s="197"/>
      <c r="H70" s="197"/>
      <c r="I70" s="197"/>
      <c r="J70" s="197"/>
      <c r="K70" s="197"/>
      <c r="L70" s="197"/>
      <c r="M70" s="197"/>
    </row>
    <row r="71" spans="2:13" ht="13.5" thickBot="1" x14ac:dyDescent="0.25">
      <c r="B71" s="445"/>
      <c r="C71" s="203">
        <f t="shared" si="5"/>
        <v>1898</v>
      </c>
      <c r="D71" s="213">
        <f t="shared" ref="D71:E71" si="14">D47+D59</f>
        <v>0</v>
      </c>
      <c r="E71" s="212">
        <f t="shared" si="14"/>
        <v>0</v>
      </c>
      <c r="F71" s="181"/>
      <c r="G71" s="181"/>
      <c r="H71" s="181"/>
      <c r="I71" s="181"/>
      <c r="J71" s="181"/>
      <c r="K71" s="181"/>
      <c r="L71" s="181"/>
      <c r="M71" s="181"/>
    </row>
    <row r="72" spans="2:13" ht="13.5" thickBot="1" x14ac:dyDescent="0.25">
      <c r="B72" s="446"/>
      <c r="C72" s="204">
        <f>$D$10-1</f>
        <v>1899</v>
      </c>
      <c r="D72" s="212">
        <f t="shared" ref="D72" si="15">D48+D60</f>
        <v>0</v>
      </c>
      <c r="E72" s="181"/>
      <c r="F72" s="181"/>
      <c r="G72" s="181"/>
      <c r="H72" s="181"/>
      <c r="I72" s="181"/>
      <c r="J72" s="181"/>
      <c r="K72" s="181"/>
      <c r="L72" s="181"/>
      <c r="M72" s="181"/>
    </row>
    <row r="73" spans="2:13" ht="13.5" thickBot="1" x14ac:dyDescent="0.25">
      <c r="B73" s="201"/>
      <c r="C73" s="182"/>
      <c r="D73" s="198"/>
      <c r="E73" s="198"/>
      <c r="F73" s="198"/>
      <c r="G73" s="198"/>
      <c r="H73" s="198"/>
      <c r="I73" s="180"/>
      <c r="J73" s="180"/>
      <c r="K73" s="180"/>
      <c r="L73" s="180"/>
      <c r="M73" s="180"/>
    </row>
    <row r="74" spans="2:13" ht="13.5" thickBot="1" x14ac:dyDescent="0.25">
      <c r="B74" s="173"/>
      <c r="C74" s="180"/>
      <c r="D74" s="94" t="s">
        <v>200</v>
      </c>
      <c r="E74" s="95" t="s">
        <v>201</v>
      </c>
      <c r="F74" s="95" t="s">
        <v>202</v>
      </c>
      <c r="G74" s="95" t="s">
        <v>203</v>
      </c>
      <c r="H74" s="95" t="s">
        <v>204</v>
      </c>
      <c r="I74" s="95" t="s">
        <v>205</v>
      </c>
      <c r="J74" s="95" t="s">
        <v>206</v>
      </c>
      <c r="K74" s="95" t="s">
        <v>221</v>
      </c>
      <c r="L74" s="95" t="s">
        <v>222</v>
      </c>
      <c r="M74" s="96" t="s">
        <v>223</v>
      </c>
    </row>
    <row r="75" spans="2:13" ht="13.5" thickBot="1" x14ac:dyDescent="0.25">
      <c r="B75" s="444" t="s">
        <v>228</v>
      </c>
      <c r="C75" s="202">
        <f t="shared" ref="C75:C83" si="16">C76-1</f>
        <v>1890</v>
      </c>
      <c r="D75" s="215" t="e">
        <f t="shared" ref="D75:M75" si="17">D63/D15</f>
        <v>#DIV/0!</v>
      </c>
      <c r="E75" s="216" t="e">
        <f t="shared" si="17"/>
        <v>#DIV/0!</v>
      </c>
      <c r="F75" s="216" t="e">
        <f t="shared" si="17"/>
        <v>#DIV/0!</v>
      </c>
      <c r="G75" s="216" t="e">
        <f t="shared" si="17"/>
        <v>#DIV/0!</v>
      </c>
      <c r="H75" s="216" t="e">
        <f t="shared" si="17"/>
        <v>#DIV/0!</v>
      </c>
      <c r="I75" s="216" t="e">
        <f t="shared" si="17"/>
        <v>#DIV/0!</v>
      </c>
      <c r="J75" s="216" t="e">
        <f t="shared" si="17"/>
        <v>#DIV/0!</v>
      </c>
      <c r="K75" s="216" t="e">
        <f t="shared" si="17"/>
        <v>#DIV/0!</v>
      </c>
      <c r="L75" s="216" t="e">
        <f t="shared" si="17"/>
        <v>#DIV/0!</v>
      </c>
      <c r="M75" s="97" t="e">
        <f t="shared" si="17"/>
        <v>#DIV/0!</v>
      </c>
    </row>
    <row r="76" spans="2:13" ht="13.5" thickBot="1" x14ac:dyDescent="0.25">
      <c r="B76" s="445"/>
      <c r="C76" s="203">
        <f t="shared" si="16"/>
        <v>1891</v>
      </c>
      <c r="D76" s="217" t="e">
        <f t="shared" ref="D76:L76" si="18">D64/D16</f>
        <v>#DIV/0!</v>
      </c>
      <c r="E76" s="218" t="e">
        <f t="shared" si="18"/>
        <v>#DIV/0!</v>
      </c>
      <c r="F76" s="218" t="e">
        <f t="shared" si="18"/>
        <v>#DIV/0!</v>
      </c>
      <c r="G76" s="218" t="e">
        <f t="shared" si="18"/>
        <v>#DIV/0!</v>
      </c>
      <c r="H76" s="218" t="e">
        <f t="shared" si="18"/>
        <v>#DIV/0!</v>
      </c>
      <c r="I76" s="218" t="e">
        <f t="shared" si="18"/>
        <v>#DIV/0!</v>
      </c>
      <c r="J76" s="218" t="e">
        <f t="shared" si="18"/>
        <v>#DIV/0!</v>
      </c>
      <c r="K76" s="218" t="e">
        <f t="shared" si="18"/>
        <v>#DIV/0!</v>
      </c>
      <c r="L76" s="205" t="e">
        <f t="shared" si="18"/>
        <v>#DIV/0!</v>
      </c>
      <c r="M76" s="198"/>
    </row>
    <row r="77" spans="2:13" ht="13.5" thickBot="1" x14ac:dyDescent="0.25">
      <c r="B77" s="445"/>
      <c r="C77" s="203">
        <f t="shared" si="16"/>
        <v>1892</v>
      </c>
      <c r="D77" s="217" t="e">
        <f t="shared" ref="D77:K77" si="19">D65/D17</f>
        <v>#DIV/0!</v>
      </c>
      <c r="E77" s="218" t="e">
        <f t="shared" si="19"/>
        <v>#DIV/0!</v>
      </c>
      <c r="F77" s="218" t="e">
        <f t="shared" si="19"/>
        <v>#DIV/0!</v>
      </c>
      <c r="G77" s="218" t="e">
        <f t="shared" si="19"/>
        <v>#DIV/0!</v>
      </c>
      <c r="H77" s="218" t="e">
        <f t="shared" si="19"/>
        <v>#DIV/0!</v>
      </c>
      <c r="I77" s="218" t="e">
        <f t="shared" si="19"/>
        <v>#DIV/0!</v>
      </c>
      <c r="J77" s="218" t="e">
        <f t="shared" si="19"/>
        <v>#DIV/0!</v>
      </c>
      <c r="K77" s="205" t="e">
        <f t="shared" si="19"/>
        <v>#DIV/0!</v>
      </c>
      <c r="L77" s="198"/>
      <c r="M77" s="198"/>
    </row>
    <row r="78" spans="2:13" ht="13.5" thickBot="1" x14ac:dyDescent="0.25">
      <c r="B78" s="445"/>
      <c r="C78" s="203">
        <f t="shared" si="16"/>
        <v>1893</v>
      </c>
      <c r="D78" s="217" t="e">
        <f t="shared" ref="D78:J78" si="20">D66/D18</f>
        <v>#DIV/0!</v>
      </c>
      <c r="E78" s="218" t="e">
        <f t="shared" si="20"/>
        <v>#DIV/0!</v>
      </c>
      <c r="F78" s="218" t="e">
        <f t="shared" si="20"/>
        <v>#DIV/0!</v>
      </c>
      <c r="G78" s="218" t="e">
        <f t="shared" si="20"/>
        <v>#DIV/0!</v>
      </c>
      <c r="H78" s="218" t="e">
        <f t="shared" si="20"/>
        <v>#DIV/0!</v>
      </c>
      <c r="I78" s="218" t="e">
        <f t="shared" si="20"/>
        <v>#DIV/0!</v>
      </c>
      <c r="J78" s="205" t="e">
        <f t="shared" si="20"/>
        <v>#DIV/0!</v>
      </c>
      <c r="K78" s="198"/>
      <c r="L78" s="198"/>
      <c r="M78" s="198"/>
    </row>
    <row r="79" spans="2:13" ht="13.5" thickBot="1" x14ac:dyDescent="0.25">
      <c r="B79" s="445"/>
      <c r="C79" s="203">
        <f t="shared" si="16"/>
        <v>1894</v>
      </c>
      <c r="D79" s="217" t="e">
        <f t="shared" ref="D79:I79" si="21">D67/D19</f>
        <v>#DIV/0!</v>
      </c>
      <c r="E79" s="218" t="e">
        <f t="shared" si="21"/>
        <v>#DIV/0!</v>
      </c>
      <c r="F79" s="218" t="e">
        <f t="shared" si="21"/>
        <v>#DIV/0!</v>
      </c>
      <c r="G79" s="218" t="e">
        <f t="shared" si="21"/>
        <v>#DIV/0!</v>
      </c>
      <c r="H79" s="218" t="e">
        <f t="shared" si="21"/>
        <v>#DIV/0!</v>
      </c>
      <c r="I79" s="205" t="e">
        <f t="shared" si="21"/>
        <v>#DIV/0!</v>
      </c>
      <c r="J79" s="198"/>
      <c r="K79" s="198"/>
      <c r="L79" s="198"/>
      <c r="M79" s="198"/>
    </row>
    <row r="80" spans="2:13" ht="13.5" thickBot="1" x14ac:dyDescent="0.25">
      <c r="B80" s="445"/>
      <c r="C80" s="203">
        <f t="shared" si="16"/>
        <v>1895</v>
      </c>
      <c r="D80" s="206" t="e">
        <f t="shared" ref="D80:H80" si="22">D68/D20</f>
        <v>#DIV/0!</v>
      </c>
      <c r="E80" s="219" t="e">
        <f t="shared" si="22"/>
        <v>#DIV/0!</v>
      </c>
      <c r="F80" s="219" t="e">
        <f t="shared" si="22"/>
        <v>#DIV/0!</v>
      </c>
      <c r="G80" s="219" t="e">
        <f t="shared" si="22"/>
        <v>#DIV/0!</v>
      </c>
      <c r="H80" s="205" t="e">
        <f t="shared" si="22"/>
        <v>#DIV/0!</v>
      </c>
      <c r="I80" s="197"/>
      <c r="J80" s="197"/>
      <c r="K80" s="197"/>
      <c r="L80" s="197"/>
      <c r="M80" s="197"/>
    </row>
    <row r="81" spans="2:13" ht="13.5" thickBot="1" x14ac:dyDescent="0.25">
      <c r="B81" s="445"/>
      <c r="C81" s="203">
        <f t="shared" si="16"/>
        <v>1896</v>
      </c>
      <c r="D81" s="206" t="e">
        <f t="shared" ref="D81:G81" si="23">D69/D21</f>
        <v>#DIV/0!</v>
      </c>
      <c r="E81" s="219" t="e">
        <f t="shared" si="23"/>
        <v>#DIV/0!</v>
      </c>
      <c r="F81" s="219" t="e">
        <f t="shared" si="23"/>
        <v>#DIV/0!</v>
      </c>
      <c r="G81" s="205" t="e">
        <f t="shared" si="23"/>
        <v>#DIV/0!</v>
      </c>
      <c r="H81" s="197"/>
      <c r="I81" s="197"/>
      <c r="J81" s="197"/>
      <c r="K81" s="197"/>
      <c r="L81" s="197"/>
      <c r="M81" s="197"/>
    </row>
    <row r="82" spans="2:13" ht="13.5" thickBot="1" x14ac:dyDescent="0.25">
      <c r="B82" s="445"/>
      <c r="C82" s="203">
        <f t="shared" si="16"/>
        <v>1897</v>
      </c>
      <c r="D82" s="206" t="e">
        <f t="shared" ref="D82:F82" si="24">D70/D22</f>
        <v>#DIV/0!</v>
      </c>
      <c r="E82" s="219" t="e">
        <f t="shared" si="24"/>
        <v>#DIV/0!</v>
      </c>
      <c r="F82" s="205" t="e">
        <f t="shared" si="24"/>
        <v>#DIV/0!</v>
      </c>
      <c r="G82" s="197"/>
      <c r="H82" s="197"/>
      <c r="I82" s="197"/>
      <c r="J82" s="197"/>
      <c r="K82" s="197"/>
      <c r="L82" s="197"/>
      <c r="M82" s="197"/>
    </row>
    <row r="83" spans="2:13" ht="13.5" thickBot="1" x14ac:dyDescent="0.25">
      <c r="B83" s="445"/>
      <c r="C83" s="203">
        <f t="shared" si="16"/>
        <v>1898</v>
      </c>
      <c r="D83" s="206" t="e">
        <f t="shared" ref="D83:E83" si="25">D71/D23</f>
        <v>#DIV/0!</v>
      </c>
      <c r="E83" s="205" t="e">
        <f t="shared" si="25"/>
        <v>#DIV/0!</v>
      </c>
      <c r="F83" s="181"/>
      <c r="G83" s="181"/>
      <c r="H83" s="181"/>
      <c r="I83" s="181"/>
      <c r="J83" s="181"/>
      <c r="K83" s="181"/>
      <c r="L83" s="181"/>
      <c r="M83" s="181"/>
    </row>
    <row r="84" spans="2:13" ht="13.5" thickBot="1" x14ac:dyDescent="0.25">
      <c r="B84" s="446"/>
      <c r="C84" s="204">
        <f>$D$10-1</f>
        <v>1899</v>
      </c>
      <c r="D84" s="205" t="e">
        <f t="shared" ref="D84" si="26">D72/D24</f>
        <v>#DIV/0!</v>
      </c>
      <c r="E84" s="181"/>
      <c r="F84" s="181"/>
      <c r="G84" s="181"/>
      <c r="H84" s="181"/>
      <c r="I84" s="181"/>
      <c r="J84" s="181"/>
      <c r="K84" s="181"/>
      <c r="L84" s="181"/>
      <c r="M84" s="181"/>
    </row>
    <row r="85" spans="2:13" x14ac:dyDescent="0.2">
      <c r="B85" s="182"/>
      <c r="C85" s="182"/>
      <c r="D85" s="198"/>
      <c r="E85" s="198"/>
      <c r="F85" s="198"/>
      <c r="G85" s="198"/>
      <c r="H85" s="180"/>
      <c r="I85" s="180"/>
      <c r="J85" s="180"/>
      <c r="K85" s="180"/>
      <c r="L85" s="180"/>
      <c r="M85" s="180"/>
    </row>
    <row r="86" spans="2:13" x14ac:dyDescent="0.2">
      <c r="B86" s="285" t="s">
        <v>18</v>
      </c>
      <c r="C86" s="173"/>
      <c r="D86" s="173"/>
      <c r="E86" s="173"/>
      <c r="F86" s="198"/>
      <c r="G86" s="198"/>
      <c r="H86" s="180"/>
      <c r="I86" s="180"/>
      <c r="J86" s="180"/>
      <c r="K86" s="180"/>
      <c r="L86" s="180"/>
      <c r="M86" s="180"/>
    </row>
    <row r="87" spans="2:13" x14ac:dyDescent="0.2">
      <c r="B87" s="403"/>
      <c r="C87" s="403"/>
      <c r="D87" s="403"/>
      <c r="E87" s="403"/>
      <c r="F87" s="197"/>
      <c r="G87" s="197"/>
      <c r="H87" s="180"/>
      <c r="I87" s="180"/>
      <c r="J87" s="180"/>
      <c r="K87" s="180"/>
      <c r="L87" s="180"/>
      <c r="M87" s="180"/>
    </row>
    <row r="88" spans="2:13" x14ac:dyDescent="0.2">
      <c r="B88" s="403"/>
      <c r="C88" s="403"/>
      <c r="D88" s="403"/>
      <c r="E88" s="403"/>
      <c r="F88" s="197"/>
      <c r="G88" s="197"/>
      <c r="H88" s="180"/>
      <c r="I88" s="180"/>
      <c r="J88" s="180"/>
      <c r="K88" s="180"/>
      <c r="L88" s="180"/>
      <c r="M88" s="180"/>
    </row>
    <row r="89" spans="2:13" x14ac:dyDescent="0.2">
      <c r="B89" s="403"/>
      <c r="C89" s="403"/>
      <c r="D89" s="403"/>
      <c r="E89" s="403"/>
      <c r="F89" s="181"/>
      <c r="G89" s="181"/>
      <c r="H89" s="180"/>
      <c r="I89" s="180"/>
      <c r="J89" s="180"/>
      <c r="K89" s="180"/>
      <c r="L89" s="180"/>
      <c r="M89" s="180"/>
    </row>
    <row r="90" spans="2:13" x14ac:dyDescent="0.2">
      <c r="B90" s="182"/>
      <c r="C90" s="182"/>
      <c r="D90" s="181"/>
      <c r="E90" s="181"/>
      <c r="F90" s="181"/>
      <c r="G90" s="181"/>
      <c r="H90" s="180"/>
      <c r="I90" s="180"/>
      <c r="J90" s="180"/>
      <c r="K90" s="180"/>
      <c r="L90" s="180"/>
      <c r="M90" s="180"/>
    </row>
    <row r="91" spans="2:13" x14ac:dyDescent="0.2">
      <c r="B91" s="180"/>
      <c r="C91" s="180"/>
      <c r="D91" s="180"/>
      <c r="E91" s="180"/>
      <c r="F91" s="180"/>
      <c r="G91" s="180"/>
      <c r="H91" s="180"/>
      <c r="I91" s="180"/>
      <c r="J91" s="180"/>
      <c r="K91" s="180"/>
      <c r="L91" s="180"/>
      <c r="M91" s="180"/>
    </row>
    <row r="92" spans="2:13" x14ac:dyDescent="0.2">
      <c r="C92" s="180"/>
      <c r="D92" s="200"/>
      <c r="E92" s="200"/>
      <c r="F92" s="200"/>
      <c r="G92" s="180"/>
      <c r="H92" s="180"/>
      <c r="I92" s="180"/>
      <c r="J92" s="180"/>
      <c r="K92" s="180"/>
      <c r="L92" s="180"/>
      <c r="M92" s="180"/>
    </row>
    <row r="93" spans="2:13" x14ac:dyDescent="0.2">
      <c r="B93" s="182"/>
      <c r="C93" s="182"/>
      <c r="D93" s="198"/>
      <c r="E93" s="198"/>
      <c r="F93" s="198"/>
      <c r="G93" s="180"/>
      <c r="H93" s="180"/>
      <c r="I93" s="180"/>
      <c r="J93" s="180"/>
      <c r="K93" s="180"/>
      <c r="L93" s="180"/>
      <c r="M93" s="180"/>
    </row>
    <row r="94" spans="2:13" x14ac:dyDescent="0.2">
      <c r="B94" s="201"/>
      <c r="C94" s="182"/>
      <c r="D94" s="198"/>
      <c r="E94" s="198"/>
      <c r="F94" s="198"/>
      <c r="G94" s="180"/>
      <c r="H94" s="180"/>
      <c r="I94" s="180"/>
      <c r="J94" s="180"/>
      <c r="K94" s="180"/>
      <c r="L94" s="180"/>
      <c r="M94" s="180"/>
    </row>
    <row r="95" spans="2:13" x14ac:dyDescent="0.2">
      <c r="B95" s="201"/>
      <c r="C95" s="182"/>
      <c r="D95" s="198"/>
      <c r="E95" s="198"/>
      <c r="F95" s="198"/>
      <c r="G95" s="180"/>
      <c r="H95" s="180"/>
      <c r="I95" s="180"/>
      <c r="J95" s="180"/>
      <c r="K95" s="180"/>
      <c r="L95" s="180"/>
      <c r="M95" s="180"/>
    </row>
    <row r="96" spans="2:13" x14ac:dyDescent="0.2">
      <c r="B96" s="182"/>
      <c r="C96" s="182"/>
      <c r="D96" s="198"/>
      <c r="E96" s="198"/>
      <c r="F96" s="198"/>
      <c r="G96" s="180"/>
      <c r="H96" s="180"/>
      <c r="I96" s="180"/>
      <c r="J96" s="180"/>
      <c r="K96" s="180"/>
      <c r="L96" s="180"/>
      <c r="M96" s="180"/>
    </row>
    <row r="97" spans="2:13" x14ac:dyDescent="0.2">
      <c r="B97" s="182"/>
      <c r="C97" s="182"/>
      <c r="D97" s="198"/>
      <c r="E97" s="198"/>
      <c r="F97" s="198"/>
      <c r="G97" s="180"/>
      <c r="H97" s="180"/>
      <c r="I97" s="180"/>
      <c r="J97" s="180"/>
      <c r="K97" s="180"/>
      <c r="L97" s="180"/>
      <c r="M97" s="180"/>
    </row>
    <row r="98" spans="2:13" x14ac:dyDescent="0.2">
      <c r="B98" s="182"/>
      <c r="C98" s="182"/>
      <c r="D98" s="197"/>
      <c r="E98" s="197"/>
      <c r="F98" s="197"/>
      <c r="G98" s="180"/>
      <c r="H98" s="180"/>
      <c r="I98" s="180"/>
      <c r="J98" s="180"/>
      <c r="K98" s="180"/>
      <c r="L98" s="180"/>
      <c r="M98" s="180"/>
    </row>
    <row r="99" spans="2:13" x14ac:dyDescent="0.2">
      <c r="B99" s="182"/>
      <c r="C99" s="182"/>
      <c r="D99" s="197"/>
      <c r="E99" s="197"/>
      <c r="F99" s="197"/>
      <c r="G99" s="180"/>
      <c r="H99" s="180"/>
      <c r="I99" s="180"/>
      <c r="J99" s="180"/>
      <c r="K99" s="180"/>
      <c r="L99" s="180"/>
      <c r="M99" s="180"/>
    </row>
    <row r="100" spans="2:13" x14ac:dyDescent="0.2">
      <c r="B100" s="182"/>
      <c r="C100" s="182"/>
      <c r="D100" s="181"/>
      <c r="E100" s="181"/>
      <c r="F100" s="181"/>
      <c r="G100" s="180"/>
      <c r="H100" s="180"/>
      <c r="I100" s="180"/>
      <c r="J100" s="180"/>
      <c r="K100" s="180"/>
      <c r="L100" s="180"/>
      <c r="M100" s="180"/>
    </row>
    <row r="101" spans="2:13" x14ac:dyDescent="0.2">
      <c r="B101" s="182"/>
      <c r="C101" s="182"/>
      <c r="D101" s="181"/>
      <c r="E101" s="181"/>
      <c r="F101" s="181"/>
      <c r="G101" s="180"/>
      <c r="H101" s="180"/>
      <c r="I101" s="180"/>
      <c r="J101" s="180"/>
      <c r="K101" s="180"/>
      <c r="L101" s="180"/>
      <c r="M101" s="180"/>
    </row>
    <row r="102" spans="2:13" x14ac:dyDescent="0.2">
      <c r="B102" s="180"/>
      <c r="C102" s="180"/>
      <c r="D102" s="180"/>
      <c r="E102" s="180"/>
      <c r="F102" s="180"/>
      <c r="G102" s="180"/>
      <c r="H102" s="180"/>
      <c r="I102" s="180"/>
      <c r="J102" s="180"/>
      <c r="K102" s="180"/>
      <c r="L102" s="180"/>
      <c r="M102" s="180"/>
    </row>
    <row r="103" spans="2:13" x14ac:dyDescent="0.2">
      <c r="C103" s="180"/>
      <c r="D103" s="200"/>
      <c r="E103" s="200"/>
      <c r="F103" s="180"/>
      <c r="G103" s="180"/>
      <c r="H103" s="180"/>
      <c r="I103" s="180"/>
      <c r="J103" s="180"/>
      <c r="K103" s="180"/>
      <c r="L103" s="180"/>
      <c r="M103" s="180"/>
    </row>
    <row r="104" spans="2:13" x14ac:dyDescent="0.2">
      <c r="B104" s="182"/>
      <c r="C104" s="182"/>
      <c r="D104" s="198"/>
      <c r="E104" s="198"/>
      <c r="F104" s="180"/>
      <c r="G104" s="180"/>
      <c r="H104" s="180"/>
      <c r="I104" s="180"/>
      <c r="J104" s="180"/>
      <c r="K104" s="180"/>
      <c r="L104" s="180"/>
      <c r="M104" s="180"/>
    </row>
    <row r="105" spans="2:13" x14ac:dyDescent="0.2">
      <c r="B105" s="201"/>
      <c r="C105" s="182"/>
      <c r="D105" s="198"/>
      <c r="E105" s="198"/>
      <c r="F105" s="180"/>
      <c r="G105" s="180"/>
      <c r="H105" s="180"/>
      <c r="I105" s="180"/>
      <c r="J105" s="180"/>
      <c r="K105" s="180"/>
      <c r="L105" s="180"/>
      <c r="M105" s="180"/>
    </row>
    <row r="106" spans="2:13" x14ac:dyDescent="0.2">
      <c r="B106" s="201"/>
      <c r="C106" s="182"/>
      <c r="D106" s="198"/>
      <c r="E106" s="198"/>
      <c r="F106" s="180"/>
      <c r="G106" s="180"/>
      <c r="H106" s="180"/>
      <c r="I106" s="180"/>
      <c r="J106" s="180"/>
      <c r="K106" s="180"/>
      <c r="L106" s="180"/>
      <c r="M106" s="180"/>
    </row>
    <row r="107" spans="2:13" x14ac:dyDescent="0.2">
      <c r="B107" s="182"/>
      <c r="C107" s="182"/>
      <c r="D107" s="198"/>
      <c r="E107" s="198"/>
      <c r="F107" s="180"/>
      <c r="G107" s="180"/>
      <c r="H107" s="180"/>
      <c r="I107" s="180"/>
      <c r="J107" s="180"/>
      <c r="K107" s="180"/>
      <c r="L107" s="180"/>
      <c r="M107" s="180"/>
    </row>
    <row r="108" spans="2:13" x14ac:dyDescent="0.2">
      <c r="B108" s="182"/>
      <c r="C108" s="182"/>
      <c r="D108" s="198"/>
      <c r="E108" s="198"/>
      <c r="F108" s="180"/>
      <c r="G108" s="180"/>
      <c r="H108" s="180"/>
      <c r="I108" s="180"/>
      <c r="J108" s="180"/>
      <c r="K108" s="180"/>
      <c r="L108" s="180"/>
      <c r="M108" s="180"/>
    </row>
    <row r="109" spans="2:13" x14ac:dyDescent="0.2">
      <c r="B109" s="182"/>
      <c r="C109" s="182"/>
      <c r="D109" s="197"/>
      <c r="E109" s="197"/>
      <c r="F109" s="180"/>
      <c r="G109" s="180"/>
      <c r="H109" s="180"/>
      <c r="I109" s="180"/>
      <c r="J109" s="180"/>
      <c r="K109" s="180"/>
      <c r="L109" s="180"/>
      <c r="M109" s="180"/>
    </row>
    <row r="110" spans="2:13" x14ac:dyDescent="0.2">
      <c r="B110" s="182"/>
      <c r="C110" s="182"/>
      <c r="D110" s="197"/>
      <c r="E110" s="197"/>
      <c r="F110" s="180"/>
      <c r="G110" s="180"/>
      <c r="H110" s="180"/>
      <c r="I110" s="180"/>
      <c r="J110" s="180"/>
      <c r="K110" s="180"/>
      <c r="L110" s="180"/>
      <c r="M110" s="180"/>
    </row>
    <row r="111" spans="2:13" x14ac:dyDescent="0.2">
      <c r="B111" s="182"/>
      <c r="C111" s="182"/>
      <c r="D111" s="181"/>
      <c r="E111" s="181"/>
      <c r="F111" s="180"/>
      <c r="G111" s="180"/>
      <c r="H111" s="180"/>
      <c r="I111" s="180"/>
      <c r="J111" s="180"/>
      <c r="K111" s="180"/>
      <c r="L111" s="180"/>
      <c r="M111" s="180"/>
    </row>
    <row r="112" spans="2:13" x14ac:dyDescent="0.2">
      <c r="B112" s="182"/>
      <c r="C112" s="182"/>
      <c r="D112" s="181"/>
      <c r="E112" s="181"/>
      <c r="F112" s="180"/>
      <c r="G112" s="180"/>
      <c r="H112" s="180"/>
      <c r="I112" s="180"/>
      <c r="J112" s="180"/>
      <c r="K112" s="180"/>
      <c r="L112" s="180"/>
      <c r="M112" s="180"/>
    </row>
    <row r="113" spans="2:13" x14ac:dyDescent="0.2">
      <c r="B113" s="180"/>
      <c r="C113" s="180"/>
      <c r="D113" s="180"/>
      <c r="E113" s="180"/>
      <c r="F113" s="180"/>
      <c r="G113" s="180"/>
      <c r="H113" s="180"/>
      <c r="I113" s="180"/>
      <c r="J113" s="180"/>
      <c r="K113" s="180"/>
      <c r="L113" s="180"/>
      <c r="M113" s="180"/>
    </row>
    <row r="114" spans="2:13" ht="13.5" thickBot="1" x14ac:dyDescent="0.25">
      <c r="C114" s="180"/>
      <c r="D114" s="199" t="s">
        <v>200</v>
      </c>
      <c r="E114" s="180"/>
      <c r="F114" s="180"/>
      <c r="G114" s="180"/>
      <c r="H114" s="180"/>
      <c r="I114" s="180"/>
      <c r="J114" s="180"/>
      <c r="K114" s="180"/>
      <c r="L114" s="180"/>
      <c r="M114" s="180"/>
    </row>
    <row r="115" spans="2:13" x14ac:dyDescent="0.2">
      <c r="B115" s="19" t="s">
        <v>229</v>
      </c>
      <c r="C115" s="23" t="s">
        <v>112</v>
      </c>
      <c r="D115" s="98"/>
      <c r="E115" s="180"/>
      <c r="F115" s="180"/>
      <c r="G115" s="180"/>
      <c r="H115" s="180"/>
      <c r="I115" s="180"/>
      <c r="J115" s="180"/>
      <c r="K115" s="180"/>
      <c r="L115" s="180"/>
      <c r="M115" s="180"/>
    </row>
    <row r="116" spans="2:13" x14ac:dyDescent="0.2">
      <c r="B116" s="20">
        <f>D10-1</f>
        <v>1899</v>
      </c>
      <c r="C116" s="24" t="s">
        <v>230</v>
      </c>
      <c r="D116" s="99"/>
      <c r="E116" s="180"/>
      <c r="F116" s="180"/>
      <c r="G116" s="180"/>
      <c r="H116" s="180"/>
      <c r="I116" s="180"/>
      <c r="J116" s="180"/>
      <c r="K116" s="180"/>
      <c r="L116" s="180"/>
      <c r="M116" s="180"/>
    </row>
    <row r="117" spans="2:13" x14ac:dyDescent="0.2">
      <c r="B117" s="20"/>
      <c r="C117" s="24" t="s">
        <v>224</v>
      </c>
      <c r="D117" s="99"/>
      <c r="E117" s="180"/>
      <c r="F117" s="180"/>
      <c r="G117" s="180"/>
      <c r="H117" s="180"/>
      <c r="I117" s="180"/>
      <c r="J117" s="180"/>
      <c r="K117" s="180"/>
      <c r="L117" s="180"/>
      <c r="M117" s="180"/>
    </row>
    <row r="118" spans="2:13" x14ac:dyDescent="0.2">
      <c r="B118" s="21"/>
      <c r="C118" s="24" t="s">
        <v>225</v>
      </c>
      <c r="D118" s="99"/>
      <c r="E118" s="180"/>
      <c r="F118" s="180"/>
      <c r="G118" s="180"/>
      <c r="H118" s="180"/>
      <c r="I118" s="180"/>
      <c r="J118" s="180"/>
      <c r="K118" s="180"/>
      <c r="L118" s="180"/>
      <c r="M118" s="180"/>
    </row>
    <row r="119" spans="2:13" x14ac:dyDescent="0.2">
      <c r="B119" s="21"/>
      <c r="C119" s="24" t="s">
        <v>226</v>
      </c>
      <c r="D119" s="100"/>
      <c r="E119" s="180"/>
      <c r="F119" s="180"/>
      <c r="G119" s="180"/>
      <c r="H119" s="180"/>
      <c r="I119" s="180"/>
      <c r="J119" s="180"/>
      <c r="K119" s="180"/>
      <c r="L119" s="180"/>
      <c r="M119" s="180"/>
    </row>
    <row r="120" spans="2:13" x14ac:dyDescent="0.2">
      <c r="B120" s="21"/>
      <c r="C120" s="24" t="s">
        <v>216</v>
      </c>
      <c r="D120" s="101">
        <f>D118+D119</f>
        <v>0</v>
      </c>
      <c r="E120" s="180"/>
      <c r="F120" s="180"/>
      <c r="G120" s="180"/>
      <c r="H120" s="180"/>
      <c r="I120" s="180"/>
      <c r="J120" s="180"/>
      <c r="K120" s="180"/>
      <c r="L120" s="180"/>
      <c r="M120" s="180"/>
    </row>
    <row r="121" spans="2:13" x14ac:dyDescent="0.2">
      <c r="B121" s="21"/>
      <c r="C121" s="24" t="s">
        <v>231</v>
      </c>
      <c r="D121" s="101">
        <f>D115-D116-D120</f>
        <v>0</v>
      </c>
      <c r="E121" s="180"/>
      <c r="F121" s="180"/>
      <c r="G121" s="180"/>
      <c r="H121" s="180"/>
      <c r="I121" s="180"/>
      <c r="J121" s="180"/>
      <c r="K121" s="180"/>
      <c r="L121" s="180"/>
      <c r="M121" s="180"/>
    </row>
    <row r="122" spans="2:13" x14ac:dyDescent="0.2">
      <c r="B122" s="21"/>
      <c r="C122" s="24" t="s">
        <v>228</v>
      </c>
      <c r="D122" s="102" t="e">
        <f>D120/D115</f>
        <v>#DIV/0!</v>
      </c>
      <c r="E122" s="180"/>
      <c r="F122" s="180"/>
      <c r="G122" s="180"/>
      <c r="H122" s="180"/>
      <c r="I122" s="180"/>
      <c r="J122" s="180"/>
      <c r="K122" s="180"/>
      <c r="L122" s="180"/>
      <c r="M122" s="180"/>
    </row>
    <row r="123" spans="2:13" ht="13.5" thickBot="1" x14ac:dyDescent="0.25">
      <c r="B123" s="22"/>
      <c r="C123" s="25" t="s">
        <v>232</v>
      </c>
      <c r="D123" s="103" t="e">
        <f>D121/D115</f>
        <v>#DIV/0!</v>
      </c>
      <c r="E123" s="180"/>
      <c r="F123" s="180"/>
      <c r="G123" s="180"/>
      <c r="H123" s="180"/>
      <c r="I123" s="180"/>
      <c r="J123" s="180"/>
      <c r="K123" s="180"/>
      <c r="L123" s="180"/>
      <c r="M123" s="180"/>
    </row>
  </sheetData>
  <mergeCells count="16">
    <mergeCell ref="B87:E89"/>
    <mergeCell ref="B75:B84"/>
    <mergeCell ref="B15:B24"/>
    <mergeCell ref="B27:B36"/>
    <mergeCell ref="B39:B48"/>
    <mergeCell ref="B51:B60"/>
    <mergeCell ref="B63:B72"/>
    <mergeCell ref="D12:E12"/>
    <mergeCell ref="D9:E9"/>
    <mergeCell ref="D8:E8"/>
    <mergeCell ref="B2:M2"/>
    <mergeCell ref="B4:M4"/>
    <mergeCell ref="B5:M5"/>
    <mergeCell ref="D7:E7"/>
    <mergeCell ref="D10:E10"/>
    <mergeCell ref="D11:E11"/>
  </mergeCells>
  <dataValidations count="1">
    <dataValidation type="list" allowBlank="1" showInputMessage="1" showErrorMessage="1" sqref="D12:E12" xr:uid="{71500280-803A-4D8A-975A-E99A45C0FD8A}">
      <formula1>INDIRECT(D11)</formula1>
    </dataValidation>
  </dataValidations>
  <hyperlinks>
    <hyperlink ref="N2" location="'Data Requirements'!A1" display="BACK" xr:uid="{87951123-EE9C-442C-B5F4-00B941C25891}"/>
  </hyperlink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5042D-E525-46F3-8A0D-E2AAE7152A9A}">
  <sheetPr codeName="Sheet11">
    <tabColor rgb="FF26B8AD"/>
  </sheetPr>
  <dimension ref="A1:AA43"/>
  <sheetViews>
    <sheetView zoomScaleNormal="100" workbookViewId="0"/>
  </sheetViews>
  <sheetFormatPr defaultColWidth="11.42578125" defaultRowHeight="12.75" x14ac:dyDescent="0.2"/>
  <cols>
    <col min="1" max="1" width="2.7109375" style="174" customWidth="1"/>
    <col min="2" max="2" width="8.85546875" style="174" customWidth="1"/>
    <col min="3" max="3" width="30.5703125" style="174" customWidth="1"/>
    <col min="4" max="4" width="14.42578125" style="174" customWidth="1"/>
    <col min="5" max="25" width="8.7109375" style="174" customWidth="1"/>
    <col min="26" max="26" width="21.28515625" style="174" customWidth="1"/>
    <col min="27" max="27" width="7.7109375" style="174" customWidth="1"/>
    <col min="28" max="247" width="11.42578125" style="174"/>
    <col min="248" max="248" width="6.7109375" style="174" customWidth="1"/>
    <col min="249" max="249" width="13.7109375" style="174" customWidth="1"/>
    <col min="250" max="250" width="1.5703125" style="174" customWidth="1"/>
    <col min="251" max="258" width="13.7109375" style="174" customWidth="1"/>
    <col min="259" max="503" width="11.42578125" style="174"/>
    <col min="504" max="504" width="6.7109375" style="174" customWidth="1"/>
    <col min="505" max="505" width="13.7109375" style="174" customWidth="1"/>
    <col min="506" max="506" width="1.5703125" style="174" customWidth="1"/>
    <col min="507" max="514" width="13.7109375" style="174" customWidth="1"/>
    <col min="515" max="759" width="11.42578125" style="174"/>
    <col min="760" max="760" width="6.7109375" style="174" customWidth="1"/>
    <col min="761" max="761" width="13.7109375" style="174" customWidth="1"/>
    <col min="762" max="762" width="1.5703125" style="174" customWidth="1"/>
    <col min="763" max="770" width="13.7109375" style="174" customWidth="1"/>
    <col min="771" max="1015" width="11.42578125" style="174"/>
    <col min="1016" max="1016" width="6.7109375" style="174" customWidth="1"/>
    <col min="1017" max="1017" width="13.7109375" style="174" customWidth="1"/>
    <col min="1018" max="1018" width="1.5703125" style="174" customWidth="1"/>
    <col min="1019" max="1026" width="13.7109375" style="174" customWidth="1"/>
    <col min="1027" max="1271" width="11.42578125" style="174"/>
    <col min="1272" max="1272" width="6.7109375" style="174" customWidth="1"/>
    <col min="1273" max="1273" width="13.7109375" style="174" customWidth="1"/>
    <col min="1274" max="1274" width="1.5703125" style="174" customWidth="1"/>
    <col min="1275" max="1282" width="13.7109375" style="174" customWidth="1"/>
    <col min="1283" max="1527" width="11.42578125" style="174"/>
    <col min="1528" max="1528" width="6.7109375" style="174" customWidth="1"/>
    <col min="1529" max="1529" width="13.7109375" style="174" customWidth="1"/>
    <col min="1530" max="1530" width="1.5703125" style="174" customWidth="1"/>
    <col min="1531" max="1538" width="13.7109375" style="174" customWidth="1"/>
    <col min="1539" max="1783" width="11.42578125" style="174"/>
    <col min="1784" max="1784" width="6.7109375" style="174" customWidth="1"/>
    <col min="1785" max="1785" width="13.7109375" style="174" customWidth="1"/>
    <col min="1786" max="1786" width="1.5703125" style="174" customWidth="1"/>
    <col min="1787" max="1794" width="13.7109375" style="174" customWidth="1"/>
    <col min="1795" max="2039" width="11.42578125" style="174"/>
    <col min="2040" max="2040" width="6.7109375" style="174" customWidth="1"/>
    <col min="2041" max="2041" width="13.7109375" style="174" customWidth="1"/>
    <col min="2042" max="2042" width="1.5703125" style="174" customWidth="1"/>
    <col min="2043" max="2050" width="13.7109375" style="174" customWidth="1"/>
    <col min="2051" max="2295" width="11.42578125" style="174"/>
    <col min="2296" max="2296" width="6.7109375" style="174" customWidth="1"/>
    <col min="2297" max="2297" width="13.7109375" style="174" customWidth="1"/>
    <col min="2298" max="2298" width="1.5703125" style="174" customWidth="1"/>
    <col min="2299" max="2306" width="13.7109375" style="174" customWidth="1"/>
    <col min="2307" max="2551" width="11.42578125" style="174"/>
    <col min="2552" max="2552" width="6.7109375" style="174" customWidth="1"/>
    <col min="2553" max="2553" width="13.7109375" style="174" customWidth="1"/>
    <col min="2554" max="2554" width="1.5703125" style="174" customWidth="1"/>
    <col min="2555" max="2562" width="13.7109375" style="174" customWidth="1"/>
    <col min="2563" max="2807" width="11.42578125" style="174"/>
    <col min="2808" max="2808" width="6.7109375" style="174" customWidth="1"/>
    <col min="2809" max="2809" width="13.7109375" style="174" customWidth="1"/>
    <col min="2810" max="2810" width="1.5703125" style="174" customWidth="1"/>
    <col min="2811" max="2818" width="13.7109375" style="174" customWidth="1"/>
    <col min="2819" max="3063" width="11.42578125" style="174"/>
    <col min="3064" max="3064" width="6.7109375" style="174" customWidth="1"/>
    <col min="3065" max="3065" width="13.7109375" style="174" customWidth="1"/>
    <col min="3066" max="3066" width="1.5703125" style="174" customWidth="1"/>
    <col min="3067" max="3074" width="13.7109375" style="174" customWidth="1"/>
    <col min="3075" max="3319" width="11.42578125" style="174"/>
    <col min="3320" max="3320" width="6.7109375" style="174" customWidth="1"/>
    <col min="3321" max="3321" width="13.7109375" style="174" customWidth="1"/>
    <col min="3322" max="3322" width="1.5703125" style="174" customWidth="1"/>
    <col min="3323" max="3330" width="13.7109375" style="174" customWidth="1"/>
    <col min="3331" max="3575" width="11.42578125" style="174"/>
    <col min="3576" max="3576" width="6.7109375" style="174" customWidth="1"/>
    <col min="3577" max="3577" width="13.7109375" style="174" customWidth="1"/>
    <col min="3578" max="3578" width="1.5703125" style="174" customWidth="1"/>
    <col min="3579" max="3586" width="13.7109375" style="174" customWidth="1"/>
    <col min="3587" max="3831" width="11.42578125" style="174"/>
    <col min="3832" max="3832" width="6.7109375" style="174" customWidth="1"/>
    <col min="3833" max="3833" width="13.7109375" style="174" customWidth="1"/>
    <col min="3834" max="3834" width="1.5703125" style="174" customWidth="1"/>
    <col min="3835" max="3842" width="13.7109375" style="174" customWidth="1"/>
    <col min="3843" max="4087" width="11.42578125" style="174"/>
    <col min="4088" max="4088" width="6.7109375" style="174" customWidth="1"/>
    <col min="4089" max="4089" width="13.7109375" style="174" customWidth="1"/>
    <col min="4090" max="4090" width="1.5703125" style="174" customWidth="1"/>
    <col min="4091" max="4098" width="13.7109375" style="174" customWidth="1"/>
    <col min="4099" max="4343" width="11.42578125" style="174"/>
    <col min="4344" max="4344" width="6.7109375" style="174" customWidth="1"/>
    <col min="4345" max="4345" width="13.7109375" style="174" customWidth="1"/>
    <col min="4346" max="4346" width="1.5703125" style="174" customWidth="1"/>
    <col min="4347" max="4354" width="13.7109375" style="174" customWidth="1"/>
    <col min="4355" max="4599" width="11.42578125" style="174"/>
    <col min="4600" max="4600" width="6.7109375" style="174" customWidth="1"/>
    <col min="4601" max="4601" width="13.7109375" style="174" customWidth="1"/>
    <col min="4602" max="4602" width="1.5703125" style="174" customWidth="1"/>
    <col min="4603" max="4610" width="13.7109375" style="174" customWidth="1"/>
    <col min="4611" max="4855" width="11.42578125" style="174"/>
    <col min="4856" max="4856" width="6.7109375" style="174" customWidth="1"/>
    <col min="4857" max="4857" width="13.7109375" style="174" customWidth="1"/>
    <col min="4858" max="4858" width="1.5703125" style="174" customWidth="1"/>
    <col min="4859" max="4866" width="13.7109375" style="174" customWidth="1"/>
    <col min="4867" max="5111" width="11.42578125" style="174"/>
    <col min="5112" max="5112" width="6.7109375" style="174" customWidth="1"/>
    <col min="5113" max="5113" width="13.7109375" style="174" customWidth="1"/>
    <col min="5114" max="5114" width="1.5703125" style="174" customWidth="1"/>
    <col min="5115" max="5122" width="13.7109375" style="174" customWidth="1"/>
    <col min="5123" max="5367" width="11.42578125" style="174"/>
    <col min="5368" max="5368" width="6.7109375" style="174" customWidth="1"/>
    <col min="5369" max="5369" width="13.7109375" style="174" customWidth="1"/>
    <col min="5370" max="5370" width="1.5703125" style="174" customWidth="1"/>
    <col min="5371" max="5378" width="13.7109375" style="174" customWidth="1"/>
    <col min="5379" max="5623" width="11.42578125" style="174"/>
    <col min="5624" max="5624" width="6.7109375" style="174" customWidth="1"/>
    <col min="5625" max="5625" width="13.7109375" style="174" customWidth="1"/>
    <col min="5626" max="5626" width="1.5703125" style="174" customWidth="1"/>
    <col min="5627" max="5634" width="13.7109375" style="174" customWidth="1"/>
    <col min="5635" max="5879" width="11.42578125" style="174"/>
    <col min="5880" max="5880" width="6.7109375" style="174" customWidth="1"/>
    <col min="5881" max="5881" width="13.7109375" style="174" customWidth="1"/>
    <col min="5882" max="5882" width="1.5703125" style="174" customWidth="1"/>
    <col min="5883" max="5890" width="13.7109375" style="174" customWidth="1"/>
    <col min="5891" max="6135" width="11.42578125" style="174"/>
    <col min="6136" max="6136" width="6.7109375" style="174" customWidth="1"/>
    <col min="6137" max="6137" width="13.7109375" style="174" customWidth="1"/>
    <col min="6138" max="6138" width="1.5703125" style="174" customWidth="1"/>
    <col min="6139" max="6146" width="13.7109375" style="174" customWidth="1"/>
    <col min="6147" max="6391" width="11.42578125" style="174"/>
    <col min="6392" max="6392" width="6.7109375" style="174" customWidth="1"/>
    <col min="6393" max="6393" width="13.7109375" style="174" customWidth="1"/>
    <col min="6394" max="6394" width="1.5703125" style="174" customWidth="1"/>
    <col min="6395" max="6402" width="13.7109375" style="174" customWidth="1"/>
    <col min="6403" max="6647" width="11.42578125" style="174"/>
    <col min="6648" max="6648" width="6.7109375" style="174" customWidth="1"/>
    <col min="6649" max="6649" width="13.7109375" style="174" customWidth="1"/>
    <col min="6650" max="6650" width="1.5703125" style="174" customWidth="1"/>
    <col min="6651" max="6658" width="13.7109375" style="174" customWidth="1"/>
    <col min="6659" max="6903" width="11.42578125" style="174"/>
    <col min="6904" max="6904" width="6.7109375" style="174" customWidth="1"/>
    <col min="6905" max="6905" width="13.7109375" style="174" customWidth="1"/>
    <col min="6906" max="6906" width="1.5703125" style="174" customWidth="1"/>
    <col min="6907" max="6914" width="13.7109375" style="174" customWidth="1"/>
    <col min="6915" max="7159" width="11.42578125" style="174"/>
    <col min="7160" max="7160" width="6.7109375" style="174" customWidth="1"/>
    <col min="7161" max="7161" width="13.7109375" style="174" customWidth="1"/>
    <col min="7162" max="7162" width="1.5703125" style="174" customWidth="1"/>
    <col min="7163" max="7170" width="13.7109375" style="174" customWidth="1"/>
    <col min="7171" max="7415" width="11.42578125" style="174"/>
    <col min="7416" max="7416" width="6.7109375" style="174" customWidth="1"/>
    <col min="7417" max="7417" width="13.7109375" style="174" customWidth="1"/>
    <col min="7418" max="7418" width="1.5703125" style="174" customWidth="1"/>
    <col min="7419" max="7426" width="13.7109375" style="174" customWidth="1"/>
    <col min="7427" max="7671" width="11.42578125" style="174"/>
    <col min="7672" max="7672" width="6.7109375" style="174" customWidth="1"/>
    <col min="7673" max="7673" width="13.7109375" style="174" customWidth="1"/>
    <col min="7674" max="7674" width="1.5703125" style="174" customWidth="1"/>
    <col min="7675" max="7682" width="13.7109375" style="174" customWidth="1"/>
    <col min="7683" max="7927" width="11.42578125" style="174"/>
    <col min="7928" max="7928" width="6.7109375" style="174" customWidth="1"/>
    <col min="7929" max="7929" width="13.7109375" style="174" customWidth="1"/>
    <col min="7930" max="7930" width="1.5703125" style="174" customWidth="1"/>
    <col min="7931" max="7938" width="13.7109375" style="174" customWidth="1"/>
    <col min="7939" max="8183" width="11.42578125" style="174"/>
    <col min="8184" max="8184" width="6.7109375" style="174" customWidth="1"/>
    <col min="8185" max="8185" width="13.7109375" style="174" customWidth="1"/>
    <col min="8186" max="8186" width="1.5703125" style="174" customWidth="1"/>
    <col min="8187" max="8194" width="13.7109375" style="174" customWidth="1"/>
    <col min="8195" max="8439" width="11.42578125" style="174"/>
    <col min="8440" max="8440" width="6.7109375" style="174" customWidth="1"/>
    <col min="8441" max="8441" width="13.7109375" style="174" customWidth="1"/>
    <col min="8442" max="8442" width="1.5703125" style="174" customWidth="1"/>
    <col min="8443" max="8450" width="13.7109375" style="174" customWidth="1"/>
    <col min="8451" max="8695" width="11.42578125" style="174"/>
    <col min="8696" max="8696" width="6.7109375" style="174" customWidth="1"/>
    <col min="8697" max="8697" width="13.7109375" style="174" customWidth="1"/>
    <col min="8698" max="8698" width="1.5703125" style="174" customWidth="1"/>
    <col min="8699" max="8706" width="13.7109375" style="174" customWidth="1"/>
    <col min="8707" max="8951" width="11.42578125" style="174"/>
    <col min="8952" max="8952" width="6.7109375" style="174" customWidth="1"/>
    <col min="8953" max="8953" width="13.7109375" style="174" customWidth="1"/>
    <col min="8954" max="8954" width="1.5703125" style="174" customWidth="1"/>
    <col min="8955" max="8962" width="13.7109375" style="174" customWidth="1"/>
    <col min="8963" max="9207" width="11.42578125" style="174"/>
    <col min="9208" max="9208" width="6.7109375" style="174" customWidth="1"/>
    <col min="9209" max="9209" width="13.7109375" style="174" customWidth="1"/>
    <col min="9210" max="9210" width="1.5703125" style="174" customWidth="1"/>
    <col min="9211" max="9218" width="13.7109375" style="174" customWidth="1"/>
    <col min="9219" max="9463" width="11.42578125" style="174"/>
    <col min="9464" max="9464" width="6.7109375" style="174" customWidth="1"/>
    <col min="9465" max="9465" width="13.7109375" style="174" customWidth="1"/>
    <col min="9466" max="9466" width="1.5703125" style="174" customWidth="1"/>
    <col min="9467" max="9474" width="13.7109375" style="174" customWidth="1"/>
    <col min="9475" max="9719" width="11.42578125" style="174"/>
    <col min="9720" max="9720" width="6.7109375" style="174" customWidth="1"/>
    <col min="9721" max="9721" width="13.7109375" style="174" customWidth="1"/>
    <col min="9722" max="9722" width="1.5703125" style="174" customWidth="1"/>
    <col min="9723" max="9730" width="13.7109375" style="174" customWidth="1"/>
    <col min="9731" max="9975" width="11.42578125" style="174"/>
    <col min="9976" max="9976" width="6.7109375" style="174" customWidth="1"/>
    <col min="9977" max="9977" width="13.7109375" style="174" customWidth="1"/>
    <col min="9978" max="9978" width="1.5703125" style="174" customWidth="1"/>
    <col min="9979" max="9986" width="13.7109375" style="174" customWidth="1"/>
    <col min="9987" max="10231" width="11.42578125" style="174"/>
    <col min="10232" max="10232" width="6.7109375" style="174" customWidth="1"/>
    <col min="10233" max="10233" width="13.7109375" style="174" customWidth="1"/>
    <col min="10234" max="10234" width="1.5703125" style="174" customWidth="1"/>
    <col min="10235" max="10242" width="13.7109375" style="174" customWidth="1"/>
    <col min="10243" max="10487" width="11.42578125" style="174"/>
    <col min="10488" max="10488" width="6.7109375" style="174" customWidth="1"/>
    <col min="10489" max="10489" width="13.7109375" style="174" customWidth="1"/>
    <col min="10490" max="10490" width="1.5703125" style="174" customWidth="1"/>
    <col min="10491" max="10498" width="13.7109375" style="174" customWidth="1"/>
    <col min="10499" max="10743" width="11.42578125" style="174"/>
    <col min="10744" max="10744" width="6.7109375" style="174" customWidth="1"/>
    <col min="10745" max="10745" width="13.7109375" style="174" customWidth="1"/>
    <col min="10746" max="10746" width="1.5703125" style="174" customWidth="1"/>
    <col min="10747" max="10754" width="13.7109375" style="174" customWidth="1"/>
    <col min="10755" max="10999" width="11.42578125" style="174"/>
    <col min="11000" max="11000" width="6.7109375" style="174" customWidth="1"/>
    <col min="11001" max="11001" width="13.7109375" style="174" customWidth="1"/>
    <col min="11002" max="11002" width="1.5703125" style="174" customWidth="1"/>
    <col min="11003" max="11010" width="13.7109375" style="174" customWidth="1"/>
    <col min="11011" max="11255" width="11.42578125" style="174"/>
    <col min="11256" max="11256" width="6.7109375" style="174" customWidth="1"/>
    <col min="11257" max="11257" width="13.7109375" style="174" customWidth="1"/>
    <col min="11258" max="11258" width="1.5703125" style="174" customWidth="1"/>
    <col min="11259" max="11266" width="13.7109375" style="174" customWidth="1"/>
    <col min="11267" max="11511" width="11.42578125" style="174"/>
    <col min="11512" max="11512" width="6.7109375" style="174" customWidth="1"/>
    <col min="11513" max="11513" width="13.7109375" style="174" customWidth="1"/>
    <col min="11514" max="11514" width="1.5703125" style="174" customWidth="1"/>
    <col min="11515" max="11522" width="13.7109375" style="174" customWidth="1"/>
    <col min="11523" max="11767" width="11.42578125" style="174"/>
    <col min="11768" max="11768" width="6.7109375" style="174" customWidth="1"/>
    <col min="11769" max="11769" width="13.7109375" style="174" customWidth="1"/>
    <col min="11770" max="11770" width="1.5703125" style="174" customWidth="1"/>
    <col min="11771" max="11778" width="13.7109375" style="174" customWidth="1"/>
    <col min="11779" max="12023" width="11.42578125" style="174"/>
    <col min="12024" max="12024" width="6.7109375" style="174" customWidth="1"/>
    <col min="12025" max="12025" width="13.7109375" style="174" customWidth="1"/>
    <col min="12026" max="12026" width="1.5703125" style="174" customWidth="1"/>
    <col min="12027" max="12034" width="13.7109375" style="174" customWidth="1"/>
    <col min="12035" max="12279" width="11.42578125" style="174"/>
    <col min="12280" max="12280" width="6.7109375" style="174" customWidth="1"/>
    <col min="12281" max="12281" width="13.7109375" style="174" customWidth="1"/>
    <col min="12282" max="12282" width="1.5703125" style="174" customWidth="1"/>
    <col min="12283" max="12290" width="13.7109375" style="174" customWidth="1"/>
    <col min="12291" max="12535" width="11.42578125" style="174"/>
    <col min="12536" max="12536" width="6.7109375" style="174" customWidth="1"/>
    <col min="12537" max="12537" width="13.7109375" style="174" customWidth="1"/>
    <col min="12538" max="12538" width="1.5703125" style="174" customWidth="1"/>
    <col min="12539" max="12546" width="13.7109375" style="174" customWidth="1"/>
    <col min="12547" max="12791" width="11.42578125" style="174"/>
    <col min="12792" max="12792" width="6.7109375" style="174" customWidth="1"/>
    <col min="12793" max="12793" width="13.7109375" style="174" customWidth="1"/>
    <col min="12794" max="12794" width="1.5703125" style="174" customWidth="1"/>
    <col min="12795" max="12802" width="13.7109375" style="174" customWidth="1"/>
    <col min="12803" max="13047" width="11.42578125" style="174"/>
    <col min="13048" max="13048" width="6.7109375" style="174" customWidth="1"/>
    <col min="13049" max="13049" width="13.7109375" style="174" customWidth="1"/>
    <col min="13050" max="13050" width="1.5703125" style="174" customWidth="1"/>
    <col min="13051" max="13058" width="13.7109375" style="174" customWidth="1"/>
    <col min="13059" max="13303" width="11.42578125" style="174"/>
    <col min="13304" max="13304" width="6.7109375" style="174" customWidth="1"/>
    <col min="13305" max="13305" width="13.7109375" style="174" customWidth="1"/>
    <col min="13306" max="13306" width="1.5703125" style="174" customWidth="1"/>
    <col min="13307" max="13314" width="13.7109375" style="174" customWidth="1"/>
    <col min="13315" max="13559" width="11.42578125" style="174"/>
    <col min="13560" max="13560" width="6.7109375" style="174" customWidth="1"/>
    <col min="13561" max="13561" width="13.7109375" style="174" customWidth="1"/>
    <col min="13562" max="13562" width="1.5703125" style="174" customWidth="1"/>
    <col min="13563" max="13570" width="13.7109375" style="174" customWidth="1"/>
    <col min="13571" max="13815" width="11.42578125" style="174"/>
    <col min="13816" max="13816" width="6.7109375" style="174" customWidth="1"/>
    <col min="13817" max="13817" width="13.7109375" style="174" customWidth="1"/>
    <col min="13818" max="13818" width="1.5703125" style="174" customWidth="1"/>
    <col min="13819" max="13826" width="13.7109375" style="174" customWidth="1"/>
    <col min="13827" max="14071" width="11.42578125" style="174"/>
    <col min="14072" max="14072" width="6.7109375" style="174" customWidth="1"/>
    <col min="14073" max="14073" width="13.7109375" style="174" customWidth="1"/>
    <col min="14074" max="14074" width="1.5703125" style="174" customWidth="1"/>
    <col min="14075" max="14082" width="13.7109375" style="174" customWidth="1"/>
    <col min="14083" max="14327" width="11.42578125" style="174"/>
    <col min="14328" max="14328" width="6.7109375" style="174" customWidth="1"/>
    <col min="14329" max="14329" width="13.7109375" style="174" customWidth="1"/>
    <col min="14330" max="14330" width="1.5703125" style="174" customWidth="1"/>
    <col min="14331" max="14338" width="13.7109375" style="174" customWidth="1"/>
    <col min="14339" max="14583" width="11.42578125" style="174"/>
    <col min="14584" max="14584" width="6.7109375" style="174" customWidth="1"/>
    <col min="14585" max="14585" width="13.7109375" style="174" customWidth="1"/>
    <col min="14586" max="14586" width="1.5703125" style="174" customWidth="1"/>
    <col min="14587" max="14594" width="13.7109375" style="174" customWidth="1"/>
    <col min="14595" max="14839" width="11.42578125" style="174"/>
    <col min="14840" max="14840" width="6.7109375" style="174" customWidth="1"/>
    <col min="14841" max="14841" width="13.7109375" style="174" customWidth="1"/>
    <col min="14842" max="14842" width="1.5703125" style="174" customWidth="1"/>
    <col min="14843" max="14850" width="13.7109375" style="174" customWidth="1"/>
    <col min="14851" max="15095" width="11.42578125" style="174"/>
    <col min="15096" max="15096" width="6.7109375" style="174" customWidth="1"/>
    <col min="15097" max="15097" width="13.7109375" style="174" customWidth="1"/>
    <col min="15098" max="15098" width="1.5703125" style="174" customWidth="1"/>
    <col min="15099" max="15106" width="13.7109375" style="174" customWidth="1"/>
    <col min="15107" max="15351" width="11.42578125" style="174"/>
    <col min="15352" max="15352" width="6.7109375" style="174" customWidth="1"/>
    <col min="15353" max="15353" width="13.7109375" style="174" customWidth="1"/>
    <col min="15354" max="15354" width="1.5703125" style="174" customWidth="1"/>
    <col min="15355" max="15362" width="13.7109375" style="174" customWidth="1"/>
    <col min="15363" max="15607" width="11.42578125" style="174"/>
    <col min="15608" max="15608" width="6.7109375" style="174" customWidth="1"/>
    <col min="15609" max="15609" width="13.7109375" style="174" customWidth="1"/>
    <col min="15610" max="15610" width="1.5703125" style="174" customWidth="1"/>
    <col min="15611" max="15618" width="13.7109375" style="174" customWidth="1"/>
    <col min="15619" max="15863" width="11.42578125" style="174"/>
    <col min="15864" max="15864" width="6.7109375" style="174" customWidth="1"/>
    <col min="15865" max="15865" width="13.7109375" style="174" customWidth="1"/>
    <col min="15866" max="15866" width="1.5703125" style="174" customWidth="1"/>
    <col min="15867" max="15874" width="13.7109375" style="174" customWidth="1"/>
    <col min="15875" max="16119" width="11.42578125" style="174"/>
    <col min="16120" max="16120" width="6.7109375" style="174" customWidth="1"/>
    <col min="16121" max="16121" width="13.7109375" style="174" customWidth="1"/>
    <col min="16122" max="16122" width="1.5703125" style="174" customWidth="1"/>
    <col min="16123" max="16130" width="13.7109375" style="174" customWidth="1"/>
    <col min="16131" max="16384" width="11.42578125" style="174"/>
  </cols>
  <sheetData>
    <row r="1" spans="1:27" ht="13.5" thickBot="1" x14ac:dyDescent="0.25"/>
    <row r="2" spans="1:27" ht="47.1" customHeight="1" thickBot="1" x14ac:dyDescent="0.25">
      <c r="B2" s="390" t="s">
        <v>233</v>
      </c>
      <c r="C2" s="391"/>
      <c r="D2" s="391"/>
      <c r="E2" s="391"/>
      <c r="F2" s="391"/>
      <c r="G2" s="391"/>
      <c r="H2" s="391"/>
      <c r="I2" s="391"/>
      <c r="J2" s="391"/>
      <c r="K2" s="391"/>
      <c r="L2" s="391"/>
      <c r="M2" s="391"/>
      <c r="N2" s="391"/>
      <c r="O2" s="391"/>
      <c r="P2" s="391"/>
      <c r="Q2" s="391"/>
      <c r="R2" s="391"/>
      <c r="S2" s="391"/>
      <c r="T2" s="391"/>
      <c r="U2" s="391"/>
      <c r="V2" s="391"/>
      <c r="W2" s="391"/>
      <c r="X2" s="391"/>
      <c r="Y2" s="391"/>
      <c r="Z2" s="392"/>
      <c r="AA2" s="240" t="s">
        <v>20</v>
      </c>
    </row>
    <row r="3" spans="1:27" ht="14.45" customHeight="1" thickBot="1" x14ac:dyDescent="0.45">
      <c r="C3" s="176"/>
      <c r="D3" s="176"/>
      <c r="E3" s="176"/>
      <c r="F3" s="176"/>
    </row>
    <row r="4" spans="1:27" s="172" customFormat="1" x14ac:dyDescent="0.2">
      <c r="B4" s="406" t="s">
        <v>105</v>
      </c>
      <c r="C4" s="407"/>
      <c r="D4" s="407"/>
      <c r="E4" s="407"/>
      <c r="F4" s="407"/>
      <c r="G4" s="407"/>
      <c r="H4" s="407"/>
      <c r="I4" s="407"/>
      <c r="J4" s="407"/>
      <c r="K4" s="407"/>
      <c r="L4" s="407"/>
      <c r="M4" s="407"/>
      <c r="N4" s="407"/>
      <c r="O4" s="407"/>
      <c r="P4" s="407"/>
      <c r="Q4" s="407"/>
      <c r="R4" s="407"/>
      <c r="S4" s="407"/>
      <c r="T4" s="407"/>
      <c r="U4" s="407"/>
      <c r="V4" s="407"/>
      <c r="W4" s="407"/>
      <c r="X4" s="407"/>
      <c r="Y4" s="407"/>
      <c r="Z4" s="408"/>
    </row>
    <row r="5" spans="1:27" s="172" customFormat="1" ht="27.95" customHeight="1" thickBot="1" x14ac:dyDescent="0.25">
      <c r="B5" s="409" t="s">
        <v>106</v>
      </c>
      <c r="C5" s="410"/>
      <c r="D5" s="410"/>
      <c r="E5" s="410"/>
      <c r="F5" s="410"/>
      <c r="G5" s="410"/>
      <c r="H5" s="410"/>
      <c r="I5" s="410"/>
      <c r="J5" s="410"/>
      <c r="K5" s="410"/>
      <c r="L5" s="410"/>
      <c r="M5" s="410"/>
      <c r="N5" s="410"/>
      <c r="O5" s="410"/>
      <c r="P5" s="410"/>
      <c r="Q5" s="410"/>
      <c r="R5" s="410"/>
      <c r="S5" s="410"/>
      <c r="T5" s="410"/>
      <c r="U5" s="410"/>
      <c r="V5" s="410"/>
      <c r="W5" s="410"/>
      <c r="X5" s="410"/>
      <c r="Y5" s="410"/>
      <c r="Z5" s="411"/>
    </row>
    <row r="6" spans="1:27" s="173" customFormat="1" ht="14.45" customHeight="1" x14ac:dyDescent="0.2">
      <c r="H6" s="175"/>
      <c r="K6" s="172"/>
      <c r="L6" s="172"/>
      <c r="M6" s="172"/>
      <c r="N6" s="172"/>
      <c r="O6" s="172"/>
    </row>
    <row r="7" spans="1:27" s="173" customFormat="1" ht="14.45" customHeight="1" x14ac:dyDescent="0.2">
      <c r="C7" s="177" t="s">
        <v>107</v>
      </c>
      <c r="D7" s="404">
        <f>Header!$D$4</f>
        <v>0</v>
      </c>
      <c r="E7" s="405"/>
      <c r="K7" s="172"/>
    </row>
    <row r="8" spans="1:27" s="173" customFormat="1" ht="14.45" customHeight="1" x14ac:dyDescent="0.2">
      <c r="C8" s="177" t="s">
        <v>4</v>
      </c>
      <c r="D8" s="404">
        <f>Header!$D$5</f>
        <v>0</v>
      </c>
      <c r="E8" s="405"/>
    </row>
    <row r="9" spans="1:27" s="173" customFormat="1" ht="14.45" customHeight="1" x14ac:dyDescent="0.2">
      <c r="C9" s="177" t="s">
        <v>5</v>
      </c>
      <c r="D9" s="404">
        <f>Header!$D$6</f>
        <v>0</v>
      </c>
      <c r="E9" s="405"/>
    </row>
    <row r="10" spans="1:27" s="173" customFormat="1" ht="14.45" customHeight="1" x14ac:dyDescent="0.2">
      <c r="C10" s="177" t="s">
        <v>109</v>
      </c>
      <c r="D10" s="404">
        <f>YEAR(Header!$D$11)</f>
        <v>1900</v>
      </c>
      <c r="E10" s="405"/>
    </row>
    <row r="11" spans="1:27" s="173" customFormat="1" ht="14.45" customHeight="1" x14ac:dyDescent="0.2">
      <c r="C11" s="177" t="s">
        <v>14</v>
      </c>
      <c r="D11" s="404">
        <f>Header!$D$15</f>
        <v>0</v>
      </c>
      <c r="E11" s="405"/>
    </row>
    <row r="12" spans="1:27" s="173" customFormat="1" ht="14.45" customHeight="1" x14ac:dyDescent="0.2">
      <c r="C12" s="177" t="s">
        <v>110</v>
      </c>
      <c r="D12" s="384"/>
      <c r="E12" s="386"/>
    </row>
    <row r="13" spans="1:27" s="173" customFormat="1" ht="14.45" customHeight="1" x14ac:dyDescent="0.2">
      <c r="C13" s="177" t="s">
        <v>180</v>
      </c>
      <c r="D13" s="417"/>
      <c r="E13" s="417"/>
    </row>
    <row r="14" spans="1:27" s="173" customFormat="1" ht="14.45" customHeight="1" thickBot="1" x14ac:dyDescent="0.25"/>
    <row r="15" spans="1:27" s="173" customFormat="1" ht="14.45" customHeight="1" x14ac:dyDescent="0.2">
      <c r="A15" s="174"/>
      <c r="B15" s="461"/>
      <c r="C15" s="461"/>
      <c r="D15" s="461"/>
      <c r="E15" s="460">
        <f>H15-1</f>
        <v>1893</v>
      </c>
      <c r="F15" s="458"/>
      <c r="G15" s="459"/>
      <c r="H15" s="457">
        <f t="shared" ref="H15" si="0">K15-1</f>
        <v>1894</v>
      </c>
      <c r="I15" s="458"/>
      <c r="J15" s="459"/>
      <c r="K15" s="457">
        <f t="shared" ref="K15" si="1">N15-1</f>
        <v>1895</v>
      </c>
      <c r="L15" s="458"/>
      <c r="M15" s="459"/>
      <c r="N15" s="457">
        <f t="shared" ref="N15" si="2">Q15-1</f>
        <v>1896</v>
      </c>
      <c r="O15" s="458"/>
      <c r="P15" s="459"/>
      <c r="Q15" s="457">
        <f>T15-1</f>
        <v>1897</v>
      </c>
      <c r="R15" s="458"/>
      <c r="S15" s="459"/>
      <c r="T15" s="457">
        <f>W15-1</f>
        <v>1898</v>
      </c>
      <c r="U15" s="458"/>
      <c r="V15" s="459"/>
      <c r="W15" s="458">
        <f>D10-1</f>
        <v>1899</v>
      </c>
      <c r="X15" s="458"/>
      <c r="Y15" s="450"/>
      <c r="Z15" s="450" t="s">
        <v>234</v>
      </c>
    </row>
    <row r="16" spans="1:27" s="173" customFormat="1" ht="14.45" customHeight="1" thickBot="1" x14ac:dyDescent="0.25">
      <c r="A16" s="174"/>
      <c r="B16" s="183"/>
      <c r="C16" s="183"/>
      <c r="D16" s="183"/>
      <c r="E16" s="452" t="s">
        <v>235</v>
      </c>
      <c r="F16" s="453"/>
      <c r="G16" s="454"/>
      <c r="H16" s="455" t="s">
        <v>236</v>
      </c>
      <c r="I16" s="453"/>
      <c r="J16" s="454"/>
      <c r="K16" s="455" t="s">
        <v>235</v>
      </c>
      <c r="L16" s="453"/>
      <c r="M16" s="454"/>
      <c r="N16" s="455" t="s">
        <v>236</v>
      </c>
      <c r="O16" s="453"/>
      <c r="P16" s="454"/>
      <c r="Q16" s="455" t="s">
        <v>235</v>
      </c>
      <c r="R16" s="453"/>
      <c r="S16" s="454"/>
      <c r="T16" s="455" t="s">
        <v>236</v>
      </c>
      <c r="U16" s="453"/>
      <c r="V16" s="454"/>
      <c r="W16" s="453" t="s">
        <v>235</v>
      </c>
      <c r="X16" s="453"/>
      <c r="Y16" s="456"/>
      <c r="Z16" s="451"/>
    </row>
    <row r="17" spans="1:26" s="173" customFormat="1" ht="26.25" thickBot="1" x14ac:dyDescent="0.25">
      <c r="A17" s="174"/>
      <c r="B17" s="162" t="s">
        <v>237</v>
      </c>
      <c r="C17" s="88" t="s">
        <v>210</v>
      </c>
      <c r="D17" s="88" t="s">
        <v>211</v>
      </c>
      <c r="E17" s="104" t="s">
        <v>161</v>
      </c>
      <c r="F17" s="105" t="s">
        <v>215</v>
      </c>
      <c r="G17" s="105" t="s">
        <v>216</v>
      </c>
      <c r="H17" s="105" t="s">
        <v>161</v>
      </c>
      <c r="I17" s="105" t="s">
        <v>215</v>
      </c>
      <c r="J17" s="105" t="s">
        <v>216</v>
      </c>
      <c r="K17" s="105" t="s">
        <v>161</v>
      </c>
      <c r="L17" s="105" t="s">
        <v>215</v>
      </c>
      <c r="M17" s="105" t="s">
        <v>216</v>
      </c>
      <c r="N17" s="105" t="s">
        <v>161</v>
      </c>
      <c r="O17" s="105" t="s">
        <v>215</v>
      </c>
      <c r="P17" s="105" t="s">
        <v>216</v>
      </c>
      <c r="Q17" s="105" t="s">
        <v>161</v>
      </c>
      <c r="R17" s="105" t="s">
        <v>215</v>
      </c>
      <c r="S17" s="105" t="s">
        <v>216</v>
      </c>
      <c r="T17" s="105" t="s">
        <v>161</v>
      </c>
      <c r="U17" s="105" t="s">
        <v>215</v>
      </c>
      <c r="V17" s="105" t="s">
        <v>216</v>
      </c>
      <c r="W17" s="105" t="s">
        <v>161</v>
      </c>
      <c r="X17" s="105" t="s">
        <v>215</v>
      </c>
      <c r="Y17" s="106" t="s">
        <v>216</v>
      </c>
      <c r="Z17" s="436"/>
    </row>
    <row r="18" spans="1:26" s="173" customFormat="1" x14ac:dyDescent="0.2">
      <c r="A18" s="174"/>
      <c r="B18" s="419">
        <f t="shared" ref="B18" si="3">B21-1</f>
        <v>1893</v>
      </c>
      <c r="C18" s="109"/>
      <c r="D18" s="110"/>
      <c r="E18" s="320"/>
      <c r="F18" s="321"/>
      <c r="G18" s="322">
        <f t="shared" ref="G18:G38" si="4">E18+F18</f>
        <v>0</v>
      </c>
      <c r="H18" s="321"/>
      <c r="I18" s="321"/>
      <c r="J18" s="322">
        <f t="shared" ref="J18:J31" si="5">H18+I18</f>
        <v>0</v>
      </c>
      <c r="K18" s="321"/>
      <c r="L18" s="321"/>
      <c r="M18" s="322">
        <f t="shared" ref="M18:M31" si="6">K18+L18</f>
        <v>0</v>
      </c>
      <c r="N18" s="321"/>
      <c r="O18" s="321"/>
      <c r="P18" s="322">
        <f t="shared" ref="P18:P29" si="7">N18+O18</f>
        <v>0</v>
      </c>
      <c r="Q18" s="321"/>
      <c r="R18" s="321"/>
      <c r="S18" s="322">
        <f t="shared" ref="S18:S26" si="8">Q18+R18</f>
        <v>0</v>
      </c>
      <c r="T18" s="321"/>
      <c r="U18" s="321"/>
      <c r="V18" s="322">
        <f t="shared" ref="V18:V23" si="9">T18+U18</f>
        <v>0</v>
      </c>
      <c r="W18" s="321"/>
      <c r="X18" s="321"/>
      <c r="Y18" s="323">
        <f t="shared" ref="Y18:Y19" si="10">W18+X18</f>
        <v>0</v>
      </c>
      <c r="Z18" s="324"/>
    </row>
    <row r="19" spans="1:26" s="173" customFormat="1" x14ac:dyDescent="0.2">
      <c r="A19" s="174"/>
      <c r="B19" s="419"/>
      <c r="C19" s="109"/>
      <c r="D19" s="110"/>
      <c r="E19" s="325"/>
      <c r="F19" s="326"/>
      <c r="G19" s="327">
        <f t="shared" si="4"/>
        <v>0</v>
      </c>
      <c r="H19" s="326"/>
      <c r="I19" s="326"/>
      <c r="J19" s="328">
        <f t="shared" si="5"/>
        <v>0</v>
      </c>
      <c r="K19" s="326"/>
      <c r="L19" s="326"/>
      <c r="M19" s="328">
        <f t="shared" si="6"/>
        <v>0</v>
      </c>
      <c r="N19" s="326"/>
      <c r="O19" s="326"/>
      <c r="P19" s="328">
        <f t="shared" si="7"/>
        <v>0</v>
      </c>
      <c r="Q19" s="326"/>
      <c r="R19" s="326"/>
      <c r="S19" s="328">
        <f t="shared" si="8"/>
        <v>0</v>
      </c>
      <c r="T19" s="326"/>
      <c r="U19" s="326"/>
      <c r="V19" s="328">
        <f t="shared" si="9"/>
        <v>0</v>
      </c>
      <c r="W19" s="326"/>
      <c r="X19" s="326"/>
      <c r="Y19" s="329">
        <f t="shared" si="10"/>
        <v>0</v>
      </c>
      <c r="Z19" s="330"/>
    </row>
    <row r="20" spans="1:26" ht="13.5" thickBot="1" x14ac:dyDescent="0.25">
      <c r="B20" s="421"/>
      <c r="C20" s="375"/>
      <c r="D20" s="115"/>
      <c r="E20" s="334"/>
      <c r="F20" s="335"/>
      <c r="G20" s="336">
        <f t="shared" si="4"/>
        <v>0</v>
      </c>
      <c r="H20" s="335"/>
      <c r="I20" s="335"/>
      <c r="J20" s="336">
        <f t="shared" si="5"/>
        <v>0</v>
      </c>
      <c r="K20" s="335"/>
      <c r="L20" s="335"/>
      <c r="M20" s="336">
        <f t="shared" si="6"/>
        <v>0</v>
      </c>
      <c r="N20" s="335"/>
      <c r="O20" s="335"/>
      <c r="P20" s="336">
        <f t="shared" si="7"/>
        <v>0</v>
      </c>
      <c r="Q20" s="335"/>
      <c r="R20" s="335"/>
      <c r="S20" s="336">
        <f t="shared" si="8"/>
        <v>0</v>
      </c>
      <c r="T20" s="335"/>
      <c r="U20" s="335"/>
      <c r="V20" s="336">
        <f t="shared" si="9"/>
        <v>0</v>
      </c>
      <c r="W20" s="335"/>
      <c r="X20" s="335"/>
      <c r="Y20" s="337">
        <v>0</v>
      </c>
      <c r="Z20" s="330"/>
    </row>
    <row r="21" spans="1:26" x14ac:dyDescent="0.2">
      <c r="B21" s="419">
        <f t="shared" ref="B21" si="11">B24-1</f>
        <v>1894</v>
      </c>
      <c r="C21" s="117"/>
      <c r="D21" s="107"/>
      <c r="E21" s="320"/>
      <c r="F21" s="320"/>
      <c r="G21" s="322">
        <f t="shared" si="4"/>
        <v>0</v>
      </c>
      <c r="H21" s="321"/>
      <c r="I21" s="321"/>
      <c r="J21" s="322">
        <f t="shared" si="5"/>
        <v>0</v>
      </c>
      <c r="K21" s="321"/>
      <c r="L21" s="321"/>
      <c r="M21" s="322">
        <f t="shared" si="6"/>
        <v>0</v>
      </c>
      <c r="N21" s="321"/>
      <c r="O21" s="321"/>
      <c r="P21" s="322">
        <f t="shared" si="7"/>
        <v>0</v>
      </c>
      <c r="Q21" s="321"/>
      <c r="R21" s="321"/>
      <c r="S21" s="322">
        <f t="shared" si="8"/>
        <v>0</v>
      </c>
      <c r="T21" s="321"/>
      <c r="U21" s="321"/>
      <c r="V21" s="338">
        <f t="shared" si="9"/>
        <v>0</v>
      </c>
      <c r="W21" s="339"/>
      <c r="X21" s="339"/>
      <c r="Y21" s="340"/>
      <c r="Z21" s="330"/>
    </row>
    <row r="22" spans="1:26" x14ac:dyDescent="0.2">
      <c r="B22" s="419"/>
      <c r="C22" s="117"/>
      <c r="D22" s="110"/>
      <c r="E22" s="325"/>
      <c r="F22" s="325"/>
      <c r="G22" s="327">
        <f t="shared" si="4"/>
        <v>0</v>
      </c>
      <c r="H22" s="326"/>
      <c r="I22" s="326"/>
      <c r="J22" s="328">
        <f t="shared" si="5"/>
        <v>0</v>
      </c>
      <c r="K22" s="326"/>
      <c r="L22" s="326"/>
      <c r="M22" s="328">
        <f t="shared" si="6"/>
        <v>0</v>
      </c>
      <c r="N22" s="326"/>
      <c r="O22" s="326"/>
      <c r="P22" s="328">
        <f t="shared" si="7"/>
        <v>0</v>
      </c>
      <c r="Q22" s="326"/>
      <c r="R22" s="326"/>
      <c r="S22" s="328">
        <f t="shared" si="8"/>
        <v>0</v>
      </c>
      <c r="T22" s="326"/>
      <c r="U22" s="326"/>
      <c r="V22" s="338">
        <f t="shared" si="9"/>
        <v>0</v>
      </c>
      <c r="W22" s="339"/>
      <c r="X22" s="339"/>
      <c r="Y22" s="340"/>
      <c r="Z22" s="330"/>
    </row>
    <row r="23" spans="1:26" ht="13.5" thickBot="1" x14ac:dyDescent="0.25">
      <c r="B23" s="421"/>
      <c r="C23" s="119"/>
      <c r="D23" s="115"/>
      <c r="E23" s="334"/>
      <c r="F23" s="334"/>
      <c r="G23" s="336">
        <f t="shared" si="4"/>
        <v>0</v>
      </c>
      <c r="H23" s="335"/>
      <c r="I23" s="335"/>
      <c r="J23" s="336">
        <f t="shared" si="5"/>
        <v>0</v>
      </c>
      <c r="K23" s="335"/>
      <c r="L23" s="335"/>
      <c r="M23" s="336">
        <f t="shared" si="6"/>
        <v>0</v>
      </c>
      <c r="N23" s="335"/>
      <c r="O23" s="335"/>
      <c r="P23" s="336">
        <f t="shared" si="7"/>
        <v>0</v>
      </c>
      <c r="Q23" s="335"/>
      <c r="R23" s="335"/>
      <c r="S23" s="336">
        <f t="shared" si="8"/>
        <v>0</v>
      </c>
      <c r="T23" s="335"/>
      <c r="U23" s="335"/>
      <c r="V23" s="344">
        <f t="shared" si="9"/>
        <v>0</v>
      </c>
      <c r="W23" s="342"/>
      <c r="X23" s="342"/>
      <c r="Y23" s="343"/>
      <c r="Z23" s="330"/>
    </row>
    <row r="24" spans="1:26" x14ac:dyDescent="0.2">
      <c r="B24" s="418">
        <f t="shared" ref="B24" si="12">B27-1</f>
        <v>1895</v>
      </c>
      <c r="C24" s="120"/>
      <c r="D24" s="107"/>
      <c r="E24" s="320"/>
      <c r="F24" s="320"/>
      <c r="G24" s="322">
        <f t="shared" si="4"/>
        <v>0</v>
      </c>
      <c r="H24" s="321"/>
      <c r="I24" s="321"/>
      <c r="J24" s="322">
        <f t="shared" si="5"/>
        <v>0</v>
      </c>
      <c r="K24" s="321"/>
      <c r="L24" s="321"/>
      <c r="M24" s="322">
        <f t="shared" si="6"/>
        <v>0</v>
      </c>
      <c r="N24" s="321"/>
      <c r="O24" s="321"/>
      <c r="P24" s="322">
        <f t="shared" si="7"/>
        <v>0</v>
      </c>
      <c r="Q24" s="321"/>
      <c r="R24" s="321"/>
      <c r="S24" s="345">
        <f t="shared" si="8"/>
        <v>0</v>
      </c>
      <c r="T24" s="339"/>
      <c r="U24" s="339"/>
      <c r="V24" s="339"/>
      <c r="W24" s="339"/>
      <c r="X24" s="339"/>
      <c r="Y24" s="340"/>
      <c r="Z24" s="330"/>
    </row>
    <row r="25" spans="1:26" x14ac:dyDescent="0.2">
      <c r="B25" s="419"/>
      <c r="C25" s="117"/>
      <c r="D25" s="110"/>
      <c r="E25" s="325"/>
      <c r="F25" s="325"/>
      <c r="G25" s="327">
        <f t="shared" si="4"/>
        <v>0</v>
      </c>
      <c r="H25" s="326"/>
      <c r="I25" s="326"/>
      <c r="J25" s="328">
        <f t="shared" si="5"/>
        <v>0</v>
      </c>
      <c r="K25" s="326"/>
      <c r="L25" s="326"/>
      <c r="M25" s="328">
        <f t="shared" si="6"/>
        <v>0</v>
      </c>
      <c r="N25" s="326"/>
      <c r="O25" s="326"/>
      <c r="P25" s="328">
        <f t="shared" si="7"/>
        <v>0</v>
      </c>
      <c r="Q25" s="326"/>
      <c r="R25" s="326"/>
      <c r="S25" s="338">
        <f t="shared" si="8"/>
        <v>0</v>
      </c>
      <c r="T25" s="339"/>
      <c r="U25" s="339"/>
      <c r="V25" s="339"/>
      <c r="W25" s="339"/>
      <c r="X25" s="339"/>
      <c r="Y25" s="340"/>
      <c r="Z25" s="330"/>
    </row>
    <row r="26" spans="1:26" ht="13.5" thickBot="1" x14ac:dyDescent="0.25">
      <c r="B26" s="421"/>
      <c r="C26" s="121"/>
      <c r="D26" s="122"/>
      <c r="E26" s="346"/>
      <c r="F26" s="346"/>
      <c r="G26" s="347">
        <f t="shared" si="4"/>
        <v>0</v>
      </c>
      <c r="H26" s="348"/>
      <c r="I26" s="348"/>
      <c r="J26" s="347">
        <f t="shared" si="5"/>
        <v>0</v>
      </c>
      <c r="K26" s="348"/>
      <c r="L26" s="348"/>
      <c r="M26" s="347">
        <f t="shared" si="6"/>
        <v>0</v>
      </c>
      <c r="N26" s="348"/>
      <c r="O26" s="348"/>
      <c r="P26" s="347">
        <f t="shared" si="7"/>
        <v>0</v>
      </c>
      <c r="Q26" s="348"/>
      <c r="R26" s="348"/>
      <c r="S26" s="349">
        <f t="shared" si="8"/>
        <v>0</v>
      </c>
      <c r="T26" s="342"/>
      <c r="U26" s="342"/>
      <c r="V26" s="342"/>
      <c r="W26" s="342"/>
      <c r="X26" s="342"/>
      <c r="Y26" s="343"/>
      <c r="Z26" s="330"/>
    </row>
    <row r="27" spans="1:26" x14ac:dyDescent="0.2">
      <c r="B27" s="418">
        <f t="shared" ref="B27" si="13">B30-1</f>
        <v>1896</v>
      </c>
      <c r="C27" s="120"/>
      <c r="D27" s="107"/>
      <c r="E27" s="320"/>
      <c r="F27" s="320"/>
      <c r="G27" s="322">
        <f t="shared" si="4"/>
        <v>0</v>
      </c>
      <c r="H27" s="321"/>
      <c r="I27" s="321"/>
      <c r="J27" s="322">
        <f t="shared" si="5"/>
        <v>0</v>
      </c>
      <c r="K27" s="321"/>
      <c r="L27" s="321"/>
      <c r="M27" s="322">
        <f t="shared" si="6"/>
        <v>0</v>
      </c>
      <c r="N27" s="321"/>
      <c r="O27" s="321"/>
      <c r="P27" s="345">
        <f t="shared" si="7"/>
        <v>0</v>
      </c>
      <c r="Q27" s="339"/>
      <c r="R27" s="339"/>
      <c r="S27" s="339"/>
      <c r="T27" s="339"/>
      <c r="U27" s="339"/>
      <c r="V27" s="339"/>
      <c r="W27" s="339"/>
      <c r="X27" s="339"/>
      <c r="Y27" s="340"/>
      <c r="Z27" s="330"/>
    </row>
    <row r="28" spans="1:26" x14ac:dyDescent="0.2">
      <c r="B28" s="419"/>
      <c r="C28" s="117"/>
      <c r="D28" s="110"/>
      <c r="E28" s="325"/>
      <c r="F28" s="325"/>
      <c r="G28" s="327">
        <f t="shared" si="4"/>
        <v>0</v>
      </c>
      <c r="H28" s="326"/>
      <c r="I28" s="326"/>
      <c r="J28" s="328">
        <f t="shared" si="5"/>
        <v>0</v>
      </c>
      <c r="K28" s="326"/>
      <c r="L28" s="326"/>
      <c r="M28" s="328">
        <f t="shared" si="6"/>
        <v>0</v>
      </c>
      <c r="N28" s="326"/>
      <c r="O28" s="326"/>
      <c r="P28" s="338">
        <f t="shared" si="7"/>
        <v>0</v>
      </c>
      <c r="Q28" s="339"/>
      <c r="R28" s="339"/>
      <c r="S28" s="339"/>
      <c r="T28" s="339"/>
      <c r="U28" s="339"/>
      <c r="V28" s="339"/>
      <c r="W28" s="339"/>
      <c r="X28" s="339"/>
      <c r="Y28" s="340"/>
      <c r="Z28" s="330"/>
    </row>
    <row r="29" spans="1:26" ht="13.5" thickBot="1" x14ac:dyDescent="0.25">
      <c r="B29" s="421"/>
      <c r="C29" s="119"/>
      <c r="D29" s="115"/>
      <c r="E29" s="334"/>
      <c r="F29" s="334"/>
      <c r="G29" s="336">
        <f t="shared" si="4"/>
        <v>0</v>
      </c>
      <c r="H29" s="335"/>
      <c r="I29" s="335"/>
      <c r="J29" s="336">
        <f t="shared" si="5"/>
        <v>0</v>
      </c>
      <c r="K29" s="335"/>
      <c r="L29" s="335"/>
      <c r="M29" s="336">
        <f t="shared" si="6"/>
        <v>0</v>
      </c>
      <c r="N29" s="335"/>
      <c r="O29" s="335"/>
      <c r="P29" s="344">
        <f t="shared" si="7"/>
        <v>0</v>
      </c>
      <c r="Q29" s="342"/>
      <c r="R29" s="342"/>
      <c r="S29" s="342"/>
      <c r="T29" s="342"/>
      <c r="U29" s="342"/>
      <c r="V29" s="342"/>
      <c r="W29" s="342"/>
      <c r="X29" s="342"/>
      <c r="Y29" s="343"/>
      <c r="Z29" s="330"/>
    </row>
    <row r="30" spans="1:26" x14ac:dyDescent="0.2">
      <c r="B30" s="418">
        <f>B33-1</f>
        <v>1897</v>
      </c>
      <c r="C30" s="120"/>
      <c r="D30" s="107"/>
      <c r="E30" s="320"/>
      <c r="F30" s="320"/>
      <c r="G30" s="322">
        <f t="shared" si="4"/>
        <v>0</v>
      </c>
      <c r="H30" s="321"/>
      <c r="I30" s="321"/>
      <c r="J30" s="322">
        <f t="shared" si="5"/>
        <v>0</v>
      </c>
      <c r="K30" s="321"/>
      <c r="L30" s="321"/>
      <c r="M30" s="345">
        <f t="shared" si="6"/>
        <v>0</v>
      </c>
      <c r="N30" s="339"/>
      <c r="O30" s="339"/>
      <c r="P30" s="339"/>
      <c r="Q30" s="339"/>
      <c r="R30" s="339"/>
      <c r="S30" s="339"/>
      <c r="T30" s="339"/>
      <c r="U30" s="339"/>
      <c r="V30" s="339"/>
      <c r="W30" s="339"/>
      <c r="X30" s="339"/>
      <c r="Y30" s="340"/>
      <c r="Z30" s="330"/>
    </row>
    <row r="31" spans="1:26" x14ac:dyDescent="0.2">
      <c r="B31" s="419"/>
      <c r="C31" s="117"/>
      <c r="D31" s="110"/>
      <c r="E31" s="325"/>
      <c r="F31" s="325"/>
      <c r="G31" s="327">
        <f t="shared" si="4"/>
        <v>0</v>
      </c>
      <c r="H31" s="326"/>
      <c r="I31" s="326"/>
      <c r="J31" s="328">
        <f t="shared" si="5"/>
        <v>0</v>
      </c>
      <c r="K31" s="326"/>
      <c r="L31" s="326"/>
      <c r="M31" s="338">
        <f t="shared" si="6"/>
        <v>0</v>
      </c>
      <c r="N31" s="339"/>
      <c r="O31" s="339"/>
      <c r="P31" s="339"/>
      <c r="Q31" s="339"/>
      <c r="R31" s="339"/>
      <c r="S31" s="339"/>
      <c r="T31" s="339"/>
      <c r="U31" s="339"/>
      <c r="V31" s="339"/>
      <c r="W31" s="339"/>
      <c r="X31" s="339"/>
      <c r="Y31" s="340"/>
      <c r="Z31" s="330"/>
    </row>
    <row r="32" spans="1:26" ht="13.5" thickBot="1" x14ac:dyDescent="0.25">
      <c r="B32" s="421"/>
      <c r="C32" s="119"/>
      <c r="D32" s="115"/>
      <c r="E32" s="334"/>
      <c r="F32" s="334"/>
      <c r="G32" s="336">
        <f t="shared" si="4"/>
        <v>0</v>
      </c>
      <c r="H32" s="335"/>
      <c r="I32" s="335"/>
      <c r="J32" s="336">
        <f t="shared" ref="J32:J35" si="14">H32+I32</f>
        <v>0</v>
      </c>
      <c r="K32" s="335"/>
      <c r="L32" s="335"/>
      <c r="M32" s="344">
        <f t="shared" ref="M32" si="15">K32+L32</f>
        <v>0</v>
      </c>
      <c r="N32" s="342"/>
      <c r="O32" s="342"/>
      <c r="P32" s="342"/>
      <c r="Q32" s="342"/>
      <c r="R32" s="342"/>
      <c r="S32" s="342"/>
      <c r="T32" s="342"/>
      <c r="U32" s="342"/>
      <c r="V32" s="342"/>
      <c r="W32" s="342"/>
      <c r="X32" s="342"/>
      <c r="Y32" s="343"/>
      <c r="Z32" s="330"/>
    </row>
    <row r="33" spans="2:26" x14ac:dyDescent="0.2">
      <c r="B33" s="418">
        <f>B36-1</f>
        <v>1898</v>
      </c>
      <c r="C33" s="120"/>
      <c r="D33" s="107"/>
      <c r="E33" s="320"/>
      <c r="F33" s="320"/>
      <c r="G33" s="322">
        <f t="shared" si="4"/>
        <v>0</v>
      </c>
      <c r="H33" s="321"/>
      <c r="I33" s="321"/>
      <c r="J33" s="345">
        <f t="shared" si="14"/>
        <v>0</v>
      </c>
      <c r="K33" s="350"/>
      <c r="L33" s="350"/>
      <c r="M33" s="350"/>
      <c r="N33" s="339"/>
      <c r="O33" s="339"/>
      <c r="P33" s="339"/>
      <c r="Q33" s="339"/>
      <c r="R33" s="339"/>
      <c r="S33" s="339"/>
      <c r="T33" s="339"/>
      <c r="U33" s="339"/>
      <c r="V33" s="339"/>
      <c r="W33" s="339"/>
      <c r="X33" s="339"/>
      <c r="Y33" s="340"/>
      <c r="Z33" s="330"/>
    </row>
    <row r="34" spans="2:26" x14ac:dyDescent="0.2">
      <c r="B34" s="419"/>
      <c r="C34" s="117"/>
      <c r="D34" s="110"/>
      <c r="E34" s="325"/>
      <c r="F34" s="325"/>
      <c r="G34" s="327">
        <f t="shared" si="4"/>
        <v>0</v>
      </c>
      <c r="H34" s="326"/>
      <c r="I34" s="326"/>
      <c r="J34" s="341">
        <f t="shared" si="14"/>
        <v>0</v>
      </c>
      <c r="K34" s="350"/>
      <c r="L34" s="350"/>
      <c r="M34" s="350"/>
      <c r="N34" s="339"/>
      <c r="O34" s="339"/>
      <c r="P34" s="339"/>
      <c r="Q34" s="339"/>
      <c r="R34" s="339"/>
      <c r="S34" s="339"/>
      <c r="T34" s="339"/>
      <c r="U34" s="339"/>
      <c r="V34" s="339"/>
      <c r="W34" s="339"/>
      <c r="X34" s="339"/>
      <c r="Y34" s="340"/>
      <c r="Z34" s="330"/>
    </row>
    <row r="35" spans="2:26" ht="13.5" thickBot="1" x14ac:dyDescent="0.25">
      <c r="B35" s="421"/>
      <c r="C35" s="119"/>
      <c r="D35" s="115"/>
      <c r="E35" s="334"/>
      <c r="F35" s="334"/>
      <c r="G35" s="336">
        <f t="shared" si="4"/>
        <v>0</v>
      </c>
      <c r="H35" s="335"/>
      <c r="I35" s="335"/>
      <c r="J35" s="344">
        <f t="shared" si="14"/>
        <v>0</v>
      </c>
      <c r="K35" s="351"/>
      <c r="L35" s="351"/>
      <c r="M35" s="351"/>
      <c r="N35" s="342"/>
      <c r="O35" s="342"/>
      <c r="P35" s="342"/>
      <c r="Q35" s="342"/>
      <c r="R35" s="342"/>
      <c r="S35" s="342"/>
      <c r="T35" s="342"/>
      <c r="U35" s="342"/>
      <c r="V35" s="342"/>
      <c r="W35" s="342"/>
      <c r="X35" s="342"/>
      <c r="Y35" s="343"/>
      <c r="Z35" s="330"/>
    </row>
    <row r="36" spans="2:26" x14ac:dyDescent="0.2">
      <c r="B36" s="418">
        <f>D10-1</f>
        <v>1899</v>
      </c>
      <c r="C36" s="120"/>
      <c r="D36" s="107"/>
      <c r="E36" s="320"/>
      <c r="F36" s="320"/>
      <c r="G36" s="345">
        <f t="shared" si="4"/>
        <v>0</v>
      </c>
      <c r="H36" s="352"/>
      <c r="I36" s="350"/>
      <c r="J36" s="353"/>
      <c r="K36" s="351"/>
      <c r="L36" s="351"/>
      <c r="M36" s="351"/>
      <c r="N36" s="342"/>
      <c r="O36" s="342"/>
      <c r="P36" s="342"/>
      <c r="Q36" s="342"/>
      <c r="R36" s="342"/>
      <c r="S36" s="342"/>
      <c r="T36" s="342"/>
      <c r="U36" s="342"/>
      <c r="V36" s="342"/>
      <c r="W36" s="342"/>
      <c r="X36" s="342"/>
      <c r="Y36" s="343"/>
      <c r="Z36" s="330"/>
    </row>
    <row r="37" spans="2:26" x14ac:dyDescent="0.2">
      <c r="B37" s="419"/>
      <c r="C37" s="117"/>
      <c r="D37" s="110"/>
      <c r="E37" s="325"/>
      <c r="F37" s="325"/>
      <c r="G37" s="341">
        <f t="shared" si="4"/>
        <v>0</v>
      </c>
      <c r="H37" s="352"/>
      <c r="I37" s="350"/>
      <c r="J37" s="353"/>
      <c r="K37" s="350"/>
      <c r="L37" s="350"/>
      <c r="M37" s="350"/>
      <c r="N37" s="339"/>
      <c r="O37" s="339"/>
      <c r="P37" s="339"/>
      <c r="Q37" s="339"/>
      <c r="R37" s="339"/>
      <c r="S37" s="339"/>
      <c r="T37" s="339"/>
      <c r="U37" s="339"/>
      <c r="V37" s="339"/>
      <c r="W37" s="339"/>
      <c r="X37" s="339"/>
      <c r="Y37" s="340"/>
      <c r="Z37" s="330"/>
    </row>
    <row r="38" spans="2:26" ht="13.5" thickBot="1" x14ac:dyDescent="0.25">
      <c r="B38" s="421"/>
      <c r="C38" s="119"/>
      <c r="D38" s="115"/>
      <c r="E38" s="334"/>
      <c r="F38" s="334"/>
      <c r="G38" s="344">
        <f t="shared" si="4"/>
        <v>0</v>
      </c>
      <c r="H38" s="354"/>
      <c r="I38" s="351"/>
      <c r="J38" s="355"/>
      <c r="K38" s="351"/>
      <c r="L38" s="351"/>
      <c r="M38" s="351"/>
      <c r="N38" s="342"/>
      <c r="O38" s="342"/>
      <c r="P38" s="342"/>
      <c r="Q38" s="342"/>
      <c r="R38" s="342"/>
      <c r="S38" s="342"/>
      <c r="T38" s="342"/>
      <c r="U38" s="342"/>
      <c r="V38" s="342"/>
      <c r="W38" s="342"/>
      <c r="X38" s="342"/>
      <c r="Y38" s="343"/>
      <c r="Z38" s="356"/>
    </row>
    <row r="40" spans="2:26" x14ac:dyDescent="0.2">
      <c r="B40" s="285" t="s">
        <v>18</v>
      </c>
      <c r="C40" s="173"/>
      <c r="D40" s="173"/>
      <c r="E40" s="173"/>
    </row>
    <row r="41" spans="2:26" x14ac:dyDescent="0.2">
      <c r="B41" s="403"/>
      <c r="C41" s="403"/>
      <c r="D41" s="403"/>
      <c r="E41" s="403"/>
    </row>
    <row r="42" spans="2:26" x14ac:dyDescent="0.2">
      <c r="B42" s="403"/>
      <c r="C42" s="403"/>
      <c r="D42" s="403"/>
      <c r="E42" s="403"/>
    </row>
    <row r="43" spans="2:26" x14ac:dyDescent="0.2">
      <c r="B43" s="403"/>
      <c r="C43" s="403"/>
      <c r="D43" s="403"/>
      <c r="E43" s="403"/>
    </row>
  </sheetData>
  <mergeCells count="34">
    <mergeCell ref="B41:E43"/>
    <mergeCell ref="D13:E13"/>
    <mergeCell ref="D7:E7"/>
    <mergeCell ref="D10:E10"/>
    <mergeCell ref="D11:E11"/>
    <mergeCell ref="B18:B20"/>
    <mergeCell ref="B21:B23"/>
    <mergeCell ref="D12:E12"/>
    <mergeCell ref="D9:E9"/>
    <mergeCell ref="D8:E8"/>
    <mergeCell ref="B15:D15"/>
    <mergeCell ref="W15:Y15"/>
    <mergeCell ref="E15:G15"/>
    <mergeCell ref="B30:B32"/>
    <mergeCell ref="B33:B35"/>
    <mergeCell ref="B36:B38"/>
    <mergeCell ref="B24:B26"/>
    <mergeCell ref="B27:B29"/>
    <mergeCell ref="B2:Z2"/>
    <mergeCell ref="B4:Z4"/>
    <mergeCell ref="B5:Z5"/>
    <mergeCell ref="Z15:Z17"/>
    <mergeCell ref="E16:G16"/>
    <mergeCell ref="H16:J16"/>
    <mergeCell ref="K16:M16"/>
    <mergeCell ref="N16:P16"/>
    <mergeCell ref="Q16:S16"/>
    <mergeCell ref="T16:V16"/>
    <mergeCell ref="W16:Y16"/>
    <mergeCell ref="H15:J15"/>
    <mergeCell ref="K15:M15"/>
    <mergeCell ref="N15:P15"/>
    <mergeCell ref="Q15:S15"/>
    <mergeCell ref="T15:V15"/>
  </mergeCells>
  <dataValidations count="1">
    <dataValidation type="list" allowBlank="1" showInputMessage="1" showErrorMessage="1" sqref="E12 D12" xr:uid="{8BDFA60B-8C01-45DC-87BE-B9AA4090BF3F}">
      <formula1>INDIRECT(D11)</formula1>
    </dataValidation>
  </dataValidations>
  <hyperlinks>
    <hyperlink ref="AA2" location="'Data Requirements'!A1" display="BACK" xr:uid="{2FCFF85C-2A5D-4200-A9CA-EB9D984278B6}"/>
  </hyperlinks>
  <pageMargins left="0.7" right="0.7" top="0.75" bottom="0.75" header="0.3" footer="0.3"/>
  <pageSetup paperSize="9"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Q96"/>
  <sheetViews>
    <sheetView zoomScaleNormal="100" workbookViewId="0"/>
  </sheetViews>
  <sheetFormatPr defaultColWidth="11.42578125" defaultRowHeight="12.75" x14ac:dyDescent="0.2"/>
  <cols>
    <col min="1" max="1" width="2.7109375" style="174" customWidth="1"/>
    <col min="2" max="2" width="16.5703125" style="174" customWidth="1"/>
    <col min="3" max="3" width="18.7109375" style="174" customWidth="1"/>
    <col min="4" max="4" width="16" style="174" customWidth="1"/>
    <col min="5" max="14" width="10.7109375" style="174" customWidth="1"/>
    <col min="15" max="15" width="7.7109375" style="174" customWidth="1"/>
    <col min="16"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62</v>
      </c>
      <c r="C2" s="391"/>
      <c r="D2" s="391"/>
      <c r="E2" s="391"/>
      <c r="F2" s="391"/>
      <c r="G2" s="391"/>
      <c r="H2" s="391"/>
      <c r="I2" s="391"/>
      <c r="J2" s="391"/>
      <c r="K2" s="391"/>
      <c r="L2" s="391"/>
      <c r="M2" s="391"/>
      <c r="N2" s="392"/>
      <c r="O2" s="240" t="s">
        <v>20</v>
      </c>
    </row>
    <row r="3" spans="2:17" ht="14.45" customHeight="1" thickBot="1" x14ac:dyDescent="0.45">
      <c r="C3" s="176"/>
      <c r="D3" s="176"/>
      <c r="E3" s="176"/>
      <c r="F3" s="176"/>
      <c r="G3" s="176"/>
      <c r="H3" s="176"/>
    </row>
    <row r="4" spans="2:17" s="172" customFormat="1" x14ac:dyDescent="0.2">
      <c r="B4" s="406" t="s">
        <v>105</v>
      </c>
      <c r="C4" s="407"/>
      <c r="D4" s="407"/>
      <c r="E4" s="407"/>
      <c r="F4" s="407"/>
      <c r="G4" s="407"/>
      <c r="H4" s="407"/>
      <c r="I4" s="407"/>
      <c r="J4" s="407"/>
      <c r="K4" s="407"/>
      <c r="L4" s="407"/>
      <c r="M4" s="407"/>
      <c r="N4" s="408"/>
    </row>
    <row r="5" spans="2:17" s="172" customFormat="1" ht="30" customHeight="1" thickBot="1" x14ac:dyDescent="0.25">
      <c r="B5" s="409" t="s">
        <v>106</v>
      </c>
      <c r="C5" s="410"/>
      <c r="D5" s="410"/>
      <c r="E5" s="410"/>
      <c r="F5" s="410"/>
      <c r="G5" s="410"/>
      <c r="H5" s="410"/>
      <c r="I5" s="410"/>
      <c r="J5" s="410"/>
      <c r="K5" s="410"/>
      <c r="L5" s="410"/>
      <c r="M5" s="410"/>
      <c r="N5" s="411"/>
    </row>
    <row r="6" spans="2:17" s="173" customFormat="1" ht="14.45" customHeight="1" x14ac:dyDescent="0.2">
      <c r="J6" s="175"/>
      <c r="M6" s="172"/>
      <c r="N6" s="172"/>
      <c r="O6" s="172"/>
      <c r="P6" s="172"/>
      <c r="Q6" s="172"/>
    </row>
    <row r="7" spans="2:17" s="173" customFormat="1" ht="14.45" customHeight="1" x14ac:dyDescent="0.2">
      <c r="C7" s="177" t="s">
        <v>107</v>
      </c>
      <c r="D7" s="404">
        <f>Header!$D$4</f>
        <v>0</v>
      </c>
      <c r="E7" s="405"/>
      <c r="F7" s="179"/>
      <c r="N7" s="172"/>
    </row>
    <row r="8" spans="2:17" s="173" customFormat="1" ht="14.45" customHeight="1" x14ac:dyDescent="0.2">
      <c r="C8" s="177" t="s">
        <v>4</v>
      </c>
      <c r="D8" s="404">
        <f>Header!$D$5</f>
        <v>0</v>
      </c>
      <c r="E8" s="405"/>
      <c r="F8" s="179" t="s">
        <v>108</v>
      </c>
    </row>
    <row r="9" spans="2:17" s="173" customFormat="1" ht="14.45" customHeight="1" x14ac:dyDescent="0.2">
      <c r="C9" s="177" t="s">
        <v>5</v>
      </c>
      <c r="D9" s="404">
        <f>Header!$D$6</f>
        <v>0</v>
      </c>
      <c r="E9" s="405"/>
      <c r="F9" s="179"/>
    </row>
    <row r="10" spans="2:17" s="173" customFormat="1" ht="14.45" customHeight="1" x14ac:dyDescent="0.2">
      <c r="C10" s="177" t="s">
        <v>109</v>
      </c>
      <c r="D10" s="404">
        <f>YEAR(Header!$D$11)</f>
        <v>1900</v>
      </c>
      <c r="E10" s="405"/>
      <c r="F10" s="179"/>
    </row>
    <row r="11" spans="2:17" s="173" customFormat="1" ht="14.45" customHeight="1" x14ac:dyDescent="0.2">
      <c r="C11" s="177" t="s">
        <v>14</v>
      </c>
      <c r="D11" s="404">
        <f>Header!$D$15</f>
        <v>0</v>
      </c>
      <c r="E11" s="405"/>
      <c r="F11" s="179"/>
    </row>
    <row r="12" spans="2:17" s="173" customFormat="1" ht="14.45" customHeight="1" x14ac:dyDescent="0.2">
      <c r="C12" s="177" t="s">
        <v>110</v>
      </c>
      <c r="D12" s="384"/>
      <c r="E12" s="386"/>
      <c r="F12" s="179"/>
    </row>
    <row r="13" spans="2:17" s="173" customFormat="1" ht="14.45" customHeight="1" x14ac:dyDescent="0.2">
      <c r="C13" s="177" t="s">
        <v>153</v>
      </c>
      <c r="D13" s="384"/>
      <c r="E13" s="386"/>
      <c r="F13" s="179" t="s">
        <v>154</v>
      </c>
    </row>
    <row r="14" spans="2:17" s="173" customFormat="1" ht="14.45" customHeight="1" x14ac:dyDescent="0.2">
      <c r="C14" s="177" t="s">
        <v>238</v>
      </c>
      <c r="D14" s="384"/>
      <c r="E14" s="386"/>
      <c r="F14" s="179"/>
    </row>
    <row r="15" spans="2:17" s="173" customFormat="1" ht="14.45" customHeight="1" thickBot="1" x14ac:dyDescent="0.25"/>
    <row r="16" spans="2:17" s="173" customFormat="1" ht="14.25" customHeight="1" thickBot="1" x14ac:dyDescent="0.25">
      <c r="B16" s="184"/>
      <c r="E16" s="460" t="s">
        <v>165</v>
      </c>
      <c r="F16" s="458"/>
      <c r="G16" s="458"/>
      <c r="H16" s="458"/>
      <c r="I16" s="450"/>
      <c r="J16" s="458" t="s">
        <v>132</v>
      </c>
      <c r="K16" s="458"/>
      <c r="L16" s="458"/>
      <c r="M16" s="458"/>
      <c r="N16" s="450"/>
    </row>
    <row r="17" spans="2:14" s="173" customFormat="1" ht="14.45" customHeight="1" thickBot="1" x14ac:dyDescent="0.25">
      <c r="B17" s="170" t="s">
        <v>239</v>
      </c>
      <c r="C17" s="87" t="s">
        <v>240</v>
      </c>
      <c r="D17" s="163" t="s">
        <v>150</v>
      </c>
      <c r="E17" s="164" t="s">
        <v>241</v>
      </c>
      <c r="F17" s="372" t="s">
        <v>242</v>
      </c>
      <c r="G17" s="88" t="s">
        <v>243</v>
      </c>
      <c r="H17" s="126" t="s">
        <v>244</v>
      </c>
      <c r="I17" s="89" t="s">
        <v>245</v>
      </c>
      <c r="J17" s="164" t="s">
        <v>241</v>
      </c>
      <c r="K17" s="372" t="s">
        <v>242</v>
      </c>
      <c r="L17" s="88" t="s">
        <v>243</v>
      </c>
      <c r="M17" s="126" t="s">
        <v>244</v>
      </c>
      <c r="N17" s="89" t="s">
        <v>245</v>
      </c>
    </row>
    <row r="18" spans="2:14" s="173" customFormat="1" ht="14.45" customHeight="1" x14ac:dyDescent="0.2">
      <c r="B18" s="127">
        <v>1</v>
      </c>
      <c r="C18" s="165"/>
      <c r="D18" s="166"/>
      <c r="E18" s="357"/>
      <c r="F18" s="167"/>
      <c r="G18" s="168"/>
      <c r="H18" s="358"/>
      <c r="I18" s="357"/>
      <c r="J18" s="357"/>
      <c r="K18" s="167"/>
      <c r="L18" s="168"/>
      <c r="M18" s="358"/>
      <c r="N18" s="359"/>
    </row>
    <row r="19" spans="2:14" s="173" customFormat="1" ht="14.45" customHeight="1" x14ac:dyDescent="0.2">
      <c r="B19" s="128">
        <f t="shared" ref="B19:B31" si="0">B18+1</f>
        <v>2</v>
      </c>
      <c r="C19" s="129"/>
      <c r="D19" s="130"/>
      <c r="E19" s="360"/>
      <c r="F19" s="131"/>
      <c r="G19" s="132"/>
      <c r="H19" s="361"/>
      <c r="I19" s="360"/>
      <c r="J19" s="360"/>
      <c r="K19" s="131"/>
      <c r="L19" s="132"/>
      <c r="M19" s="361"/>
      <c r="N19" s="362"/>
    </row>
    <row r="20" spans="2:14" s="173" customFormat="1" ht="14.45" customHeight="1" x14ac:dyDescent="0.2">
      <c r="B20" s="128">
        <f t="shared" si="0"/>
        <v>3</v>
      </c>
      <c r="C20" s="129"/>
      <c r="D20" s="130"/>
      <c r="E20" s="360"/>
      <c r="F20" s="131"/>
      <c r="G20" s="132"/>
      <c r="H20" s="361"/>
      <c r="I20" s="360"/>
      <c r="J20" s="360"/>
      <c r="K20" s="131"/>
      <c r="L20" s="132"/>
      <c r="M20" s="361"/>
      <c r="N20" s="362"/>
    </row>
    <row r="21" spans="2:14" s="173" customFormat="1" ht="14.45" customHeight="1" x14ac:dyDescent="0.2">
      <c r="B21" s="128">
        <f t="shared" si="0"/>
        <v>4</v>
      </c>
      <c r="C21" s="129"/>
      <c r="D21" s="130"/>
      <c r="E21" s="360"/>
      <c r="F21" s="131"/>
      <c r="G21" s="132"/>
      <c r="H21" s="361"/>
      <c r="I21" s="360"/>
      <c r="J21" s="360"/>
      <c r="K21" s="131"/>
      <c r="L21" s="132"/>
      <c r="M21" s="361"/>
      <c r="N21" s="362"/>
    </row>
    <row r="22" spans="2:14" s="173" customFormat="1" ht="14.45" customHeight="1" x14ac:dyDescent="0.2">
      <c r="B22" s="128">
        <f t="shared" si="0"/>
        <v>5</v>
      </c>
      <c r="C22" s="129"/>
      <c r="D22" s="130"/>
      <c r="E22" s="360"/>
      <c r="F22" s="131"/>
      <c r="G22" s="132"/>
      <c r="H22" s="361"/>
      <c r="I22" s="360"/>
      <c r="J22" s="360"/>
      <c r="K22" s="131"/>
      <c r="L22" s="132"/>
      <c r="M22" s="361"/>
      <c r="N22" s="362"/>
    </row>
    <row r="23" spans="2:14" s="173" customFormat="1" ht="14.45" customHeight="1" x14ac:dyDescent="0.2">
      <c r="B23" s="128">
        <f t="shared" si="0"/>
        <v>6</v>
      </c>
      <c r="C23" s="129"/>
      <c r="D23" s="130"/>
      <c r="E23" s="360"/>
      <c r="F23" s="131"/>
      <c r="G23" s="132"/>
      <c r="H23" s="361"/>
      <c r="I23" s="360"/>
      <c r="J23" s="360"/>
      <c r="K23" s="131"/>
      <c r="L23" s="132"/>
      <c r="M23" s="361"/>
      <c r="N23" s="362"/>
    </row>
    <row r="24" spans="2:14" s="173" customFormat="1" ht="14.45" customHeight="1" x14ac:dyDescent="0.2">
      <c r="B24" s="128">
        <f t="shared" si="0"/>
        <v>7</v>
      </c>
      <c r="C24" s="129"/>
      <c r="D24" s="130"/>
      <c r="E24" s="360"/>
      <c r="F24" s="131"/>
      <c r="G24" s="132"/>
      <c r="H24" s="361"/>
      <c r="I24" s="360"/>
      <c r="J24" s="360"/>
      <c r="K24" s="131"/>
      <c r="L24" s="132"/>
      <c r="M24" s="361"/>
      <c r="N24" s="362"/>
    </row>
    <row r="25" spans="2:14" s="173" customFormat="1" ht="14.45" customHeight="1" x14ac:dyDescent="0.2">
      <c r="B25" s="128">
        <f t="shared" si="0"/>
        <v>8</v>
      </c>
      <c r="C25" s="129"/>
      <c r="D25" s="130"/>
      <c r="E25" s="360"/>
      <c r="F25" s="131"/>
      <c r="G25" s="132"/>
      <c r="H25" s="361"/>
      <c r="I25" s="360"/>
      <c r="J25" s="360"/>
      <c r="K25" s="131"/>
      <c r="L25" s="132"/>
      <c r="M25" s="361"/>
      <c r="N25" s="362"/>
    </row>
    <row r="26" spans="2:14" s="173" customFormat="1" ht="14.45" customHeight="1" x14ac:dyDescent="0.2">
      <c r="B26" s="128">
        <f t="shared" si="0"/>
        <v>9</v>
      </c>
      <c r="C26" s="129"/>
      <c r="D26" s="130"/>
      <c r="E26" s="360"/>
      <c r="F26" s="131"/>
      <c r="G26" s="132"/>
      <c r="H26" s="361"/>
      <c r="I26" s="360"/>
      <c r="J26" s="360"/>
      <c r="K26" s="131"/>
      <c r="L26" s="132"/>
      <c r="M26" s="361"/>
      <c r="N26" s="362"/>
    </row>
    <row r="27" spans="2:14" s="173" customFormat="1" ht="14.45" customHeight="1" x14ac:dyDescent="0.2">
      <c r="B27" s="128">
        <f t="shared" si="0"/>
        <v>10</v>
      </c>
      <c r="C27" s="129"/>
      <c r="D27" s="130"/>
      <c r="E27" s="360"/>
      <c r="F27" s="131"/>
      <c r="G27" s="132"/>
      <c r="H27" s="361"/>
      <c r="I27" s="360"/>
      <c r="J27" s="360"/>
      <c r="K27" s="131"/>
      <c r="L27" s="132"/>
      <c r="M27" s="361"/>
      <c r="N27" s="362"/>
    </row>
    <row r="28" spans="2:14" ht="13.15" customHeight="1" x14ac:dyDescent="0.2">
      <c r="B28" s="128">
        <f t="shared" si="0"/>
        <v>11</v>
      </c>
      <c r="C28" s="129"/>
      <c r="D28" s="133"/>
      <c r="E28" s="360"/>
      <c r="F28" s="131"/>
      <c r="G28" s="132"/>
      <c r="H28" s="361"/>
      <c r="I28" s="360"/>
      <c r="J28" s="360"/>
      <c r="K28" s="131"/>
      <c r="L28" s="132"/>
      <c r="M28" s="361"/>
      <c r="N28" s="362"/>
    </row>
    <row r="29" spans="2:14" ht="13.15" customHeight="1" x14ac:dyDescent="0.2">
      <c r="B29" s="128">
        <f t="shared" si="0"/>
        <v>12</v>
      </c>
      <c r="C29" s="129"/>
      <c r="D29" s="133"/>
      <c r="E29" s="360"/>
      <c r="F29" s="131"/>
      <c r="G29" s="132"/>
      <c r="H29" s="361"/>
      <c r="I29" s="360"/>
      <c r="J29" s="360"/>
      <c r="K29" s="131"/>
      <c r="L29" s="132"/>
      <c r="M29" s="361"/>
      <c r="N29" s="362"/>
    </row>
    <row r="30" spans="2:14" x14ac:dyDescent="0.2">
      <c r="B30" s="128">
        <f t="shared" si="0"/>
        <v>13</v>
      </c>
      <c r="C30" s="129"/>
      <c r="D30" s="133"/>
      <c r="E30" s="360"/>
      <c r="F30" s="131"/>
      <c r="G30" s="132"/>
      <c r="H30" s="361"/>
      <c r="I30" s="360"/>
      <c r="J30" s="360"/>
      <c r="K30" s="131"/>
      <c r="L30" s="132"/>
      <c r="M30" s="361"/>
      <c r="N30" s="362"/>
    </row>
    <row r="31" spans="2:14" x14ac:dyDescent="0.2">
      <c r="B31" s="128">
        <f t="shared" si="0"/>
        <v>14</v>
      </c>
      <c r="C31" s="129"/>
      <c r="D31" s="133"/>
      <c r="E31" s="360"/>
      <c r="F31" s="131"/>
      <c r="G31" s="132"/>
      <c r="H31" s="361"/>
      <c r="I31" s="360"/>
      <c r="J31" s="360"/>
      <c r="K31" s="131"/>
      <c r="L31" s="132"/>
      <c r="M31" s="361"/>
      <c r="N31" s="362"/>
    </row>
    <row r="32" spans="2:14" x14ac:dyDescent="0.2">
      <c r="B32" s="128">
        <f t="shared" ref="B32:B36" si="1">B31+1</f>
        <v>15</v>
      </c>
      <c r="C32" s="129"/>
      <c r="D32" s="133"/>
      <c r="E32" s="360"/>
      <c r="F32" s="131"/>
      <c r="G32" s="132"/>
      <c r="H32" s="361"/>
      <c r="I32" s="360"/>
      <c r="J32" s="360"/>
      <c r="K32" s="131"/>
      <c r="L32" s="132"/>
      <c r="M32" s="361"/>
      <c r="N32" s="362"/>
    </row>
    <row r="33" spans="2:14" x14ac:dyDescent="0.2">
      <c r="B33" s="128">
        <f t="shared" si="1"/>
        <v>16</v>
      </c>
      <c r="C33" s="129"/>
      <c r="D33" s="133"/>
      <c r="E33" s="360"/>
      <c r="F33" s="131"/>
      <c r="G33" s="132"/>
      <c r="H33" s="361"/>
      <c r="I33" s="360"/>
      <c r="J33" s="360"/>
      <c r="K33" s="131"/>
      <c r="L33" s="132"/>
      <c r="M33" s="361"/>
      <c r="N33" s="362"/>
    </row>
    <row r="34" spans="2:14" x14ac:dyDescent="0.2">
      <c r="B34" s="128">
        <f t="shared" si="1"/>
        <v>17</v>
      </c>
      <c r="C34" s="129"/>
      <c r="D34" s="133"/>
      <c r="E34" s="360"/>
      <c r="F34" s="131"/>
      <c r="G34" s="132"/>
      <c r="H34" s="361"/>
      <c r="I34" s="360"/>
      <c r="J34" s="360"/>
      <c r="K34" s="131"/>
      <c r="L34" s="132"/>
      <c r="M34" s="361"/>
      <c r="N34" s="362"/>
    </row>
    <row r="35" spans="2:14" x14ac:dyDescent="0.2">
      <c r="B35" s="128">
        <f t="shared" si="1"/>
        <v>18</v>
      </c>
      <c r="C35" s="129"/>
      <c r="D35" s="133"/>
      <c r="E35" s="360"/>
      <c r="F35" s="131"/>
      <c r="G35" s="132"/>
      <c r="H35" s="361"/>
      <c r="I35" s="360"/>
      <c r="J35" s="360"/>
      <c r="K35" s="131"/>
      <c r="L35" s="132"/>
      <c r="M35" s="361"/>
      <c r="N35" s="362"/>
    </row>
    <row r="36" spans="2:14" x14ac:dyDescent="0.2">
      <c r="B36" s="128">
        <f t="shared" si="1"/>
        <v>19</v>
      </c>
      <c r="C36" s="129"/>
      <c r="D36" s="133"/>
      <c r="E36" s="360"/>
      <c r="F36" s="131"/>
      <c r="G36" s="132"/>
      <c r="H36" s="361"/>
      <c r="I36" s="360"/>
      <c r="J36" s="360"/>
      <c r="K36" s="131"/>
      <c r="L36" s="132"/>
      <c r="M36" s="361"/>
      <c r="N36" s="362"/>
    </row>
    <row r="37" spans="2:14" ht="12.75" customHeight="1" thickBot="1" x14ac:dyDescent="0.25">
      <c r="B37" s="134" t="s">
        <v>246</v>
      </c>
      <c r="C37" s="135"/>
      <c r="D37" s="136"/>
      <c r="E37" s="363"/>
      <c r="F37" s="131"/>
      <c r="G37" s="132"/>
      <c r="H37" s="361"/>
      <c r="I37" s="360"/>
      <c r="J37" s="363"/>
      <c r="K37" s="131"/>
      <c r="L37" s="132"/>
      <c r="M37" s="361"/>
      <c r="N37" s="362"/>
    </row>
    <row r="38" spans="2:14" ht="13.5" thickBot="1" x14ac:dyDescent="0.25">
      <c r="B38" s="185"/>
      <c r="C38" s="137" t="s">
        <v>247</v>
      </c>
      <c r="D38" s="138">
        <f t="shared" ref="D38:H38" si="2">SUM(D18:D37)</f>
        <v>0</v>
      </c>
      <c r="E38" s="138">
        <f t="shared" si="2"/>
        <v>0</v>
      </c>
      <c r="F38" s="138">
        <f t="shared" si="2"/>
        <v>0</v>
      </c>
      <c r="G38" s="138">
        <f t="shared" si="2"/>
        <v>0</v>
      </c>
      <c r="H38" s="139">
        <f t="shared" si="2"/>
        <v>0</v>
      </c>
      <c r="I38" s="139">
        <f t="shared" ref="I38" si="3">SUM(I18:I37)</f>
        <v>0</v>
      </c>
      <c r="J38" s="140"/>
      <c r="K38" s="138">
        <f t="shared" ref="K38:N38" si="4">SUM(K18:K37)</f>
        <v>0</v>
      </c>
      <c r="L38" s="138">
        <f t="shared" si="4"/>
        <v>0</v>
      </c>
      <c r="M38" s="139">
        <f t="shared" si="4"/>
        <v>0</v>
      </c>
      <c r="N38" s="141">
        <f t="shared" si="4"/>
        <v>0</v>
      </c>
    </row>
    <row r="39" spans="2:14" s="173" customFormat="1" ht="13.5" thickBot="1" x14ac:dyDescent="0.25"/>
    <row r="40" spans="2:14" s="173" customFormat="1" ht="14.45" customHeight="1" x14ac:dyDescent="0.2">
      <c r="B40" s="142" t="s">
        <v>196</v>
      </c>
      <c r="C40" s="143" t="s">
        <v>248</v>
      </c>
      <c r="D40" s="143"/>
      <c r="E40" s="143"/>
      <c r="F40" s="143"/>
      <c r="G40" s="143"/>
      <c r="H40" s="143"/>
      <c r="I40" s="143"/>
      <c r="J40" s="143"/>
      <c r="K40" s="143"/>
      <c r="L40" s="143"/>
      <c r="M40" s="143"/>
      <c r="N40" s="144"/>
    </row>
    <row r="41" spans="2:14" s="173" customFormat="1" ht="14.45" customHeight="1" x14ac:dyDescent="0.2">
      <c r="B41" s="12" t="s">
        <v>249</v>
      </c>
      <c r="C41" s="145" t="s">
        <v>250</v>
      </c>
      <c r="D41" s="145"/>
      <c r="E41" s="145"/>
      <c r="F41" s="145"/>
      <c r="G41" s="145"/>
      <c r="H41" s="145"/>
      <c r="I41" s="145"/>
      <c r="J41" s="145"/>
      <c r="K41" s="145"/>
      <c r="L41" s="145"/>
      <c r="M41" s="145"/>
      <c r="N41" s="146"/>
    </row>
    <row r="42" spans="2:14" s="173" customFormat="1" ht="14.45" customHeight="1" thickBot="1" x14ac:dyDescent="0.25">
      <c r="B42" s="13" t="s">
        <v>249</v>
      </c>
      <c r="C42" s="14" t="s">
        <v>251</v>
      </c>
      <c r="D42" s="14"/>
      <c r="E42" s="14"/>
      <c r="F42" s="14"/>
      <c r="G42" s="14"/>
      <c r="H42" s="14"/>
      <c r="I42" s="14"/>
      <c r="J42" s="14"/>
      <c r="K42" s="14"/>
      <c r="L42" s="14"/>
      <c r="M42" s="14"/>
      <c r="N42" s="15"/>
    </row>
    <row r="43" spans="2:14" ht="13.15" customHeight="1" x14ac:dyDescent="0.2"/>
    <row r="44" spans="2:14" ht="13.15" customHeight="1" x14ac:dyDescent="0.2">
      <c r="B44" s="285" t="s">
        <v>18</v>
      </c>
      <c r="C44" s="173"/>
      <c r="D44" s="173"/>
      <c r="E44" s="173"/>
    </row>
    <row r="45" spans="2:14" x14ac:dyDescent="0.2">
      <c r="B45" s="403"/>
      <c r="C45" s="403"/>
      <c r="D45" s="403"/>
      <c r="E45" s="403"/>
    </row>
    <row r="46" spans="2:14" x14ac:dyDescent="0.2">
      <c r="B46" s="403"/>
      <c r="C46" s="403"/>
      <c r="D46" s="403"/>
      <c r="E46" s="403"/>
    </row>
    <row r="47" spans="2:14" x14ac:dyDescent="0.2">
      <c r="B47" s="403"/>
      <c r="C47" s="403"/>
      <c r="D47" s="403"/>
      <c r="E47"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4">
    <mergeCell ref="B45:E47"/>
    <mergeCell ref="B2:N2"/>
    <mergeCell ref="B4:N4"/>
    <mergeCell ref="B5:N5"/>
    <mergeCell ref="D7:E7"/>
    <mergeCell ref="D10:E10"/>
    <mergeCell ref="D8:E8"/>
    <mergeCell ref="J16:N16"/>
    <mergeCell ref="D11:E11"/>
    <mergeCell ref="D12:E12"/>
    <mergeCell ref="D14:E14"/>
    <mergeCell ref="D9:E9"/>
    <mergeCell ref="E16:I16"/>
    <mergeCell ref="D13:E13"/>
  </mergeCells>
  <dataValidations count="1">
    <dataValidation type="list" allowBlank="1" showInputMessage="1" showErrorMessage="1" sqref="D12:E12" xr:uid="{B535B594-1F88-4CD9-9146-8E8FBF5C0930}">
      <formula1>INDIRECT(D11)</formula1>
    </dataValidation>
  </dataValidations>
  <hyperlinks>
    <hyperlink ref="O2" location="'Data Requirements'!A1" display="BACK" xr:uid="{317A286B-6B2F-470A-A9C9-22293C48EA49}"/>
  </hyperlinks>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6"/>
  <sheetViews>
    <sheetView workbookViewId="0"/>
  </sheetViews>
  <sheetFormatPr defaultColWidth="11.42578125" defaultRowHeight="12.75" x14ac:dyDescent="0.2"/>
  <cols>
    <col min="1" max="1" width="2.7109375" style="174" customWidth="1"/>
    <col min="2" max="2" width="12.85546875" style="174" customWidth="1"/>
    <col min="3" max="3" width="12.140625" style="174" customWidth="1"/>
    <col min="4" max="4" width="19.85546875" style="174" customWidth="1"/>
    <col min="5" max="5" width="12.5703125" style="174" bestFit="1" customWidth="1"/>
    <col min="6" max="15" width="14.42578125" style="174" customWidth="1"/>
    <col min="16" max="16" width="7.7109375" style="174" customWidth="1"/>
    <col min="17" max="256" width="11.42578125" style="174"/>
    <col min="257" max="257" width="6.7109375" style="174" customWidth="1"/>
    <col min="258" max="258" width="13.7109375" style="174" customWidth="1"/>
    <col min="259" max="259" width="1.5703125" style="174" customWidth="1"/>
    <col min="260" max="267" width="13.7109375" style="174" customWidth="1"/>
    <col min="268" max="512" width="11.42578125" style="174"/>
    <col min="513" max="513" width="6.7109375" style="174" customWidth="1"/>
    <col min="514" max="514" width="13.7109375" style="174" customWidth="1"/>
    <col min="515" max="515" width="1.5703125" style="174" customWidth="1"/>
    <col min="516" max="523" width="13.7109375" style="174" customWidth="1"/>
    <col min="524" max="768" width="11.42578125" style="174"/>
    <col min="769" max="769" width="6.7109375" style="174" customWidth="1"/>
    <col min="770" max="770" width="13.7109375" style="174" customWidth="1"/>
    <col min="771" max="771" width="1.5703125" style="174" customWidth="1"/>
    <col min="772" max="779" width="13.7109375" style="174" customWidth="1"/>
    <col min="780" max="1024" width="11.42578125" style="174"/>
    <col min="1025" max="1025" width="6.7109375" style="174" customWidth="1"/>
    <col min="1026" max="1026" width="13.7109375" style="174" customWidth="1"/>
    <col min="1027" max="1027" width="1.5703125" style="174" customWidth="1"/>
    <col min="1028" max="1035" width="13.7109375" style="174" customWidth="1"/>
    <col min="1036" max="1280" width="11.42578125" style="174"/>
    <col min="1281" max="1281" width="6.7109375" style="174" customWidth="1"/>
    <col min="1282" max="1282" width="13.7109375" style="174" customWidth="1"/>
    <col min="1283" max="1283" width="1.5703125" style="174" customWidth="1"/>
    <col min="1284" max="1291" width="13.7109375" style="174" customWidth="1"/>
    <col min="1292" max="1536" width="11.42578125" style="174"/>
    <col min="1537" max="1537" width="6.7109375" style="174" customWidth="1"/>
    <col min="1538" max="1538" width="13.7109375" style="174" customWidth="1"/>
    <col min="1539" max="1539" width="1.5703125" style="174" customWidth="1"/>
    <col min="1540" max="1547" width="13.7109375" style="174" customWidth="1"/>
    <col min="1548" max="1792" width="11.42578125" style="174"/>
    <col min="1793" max="1793" width="6.7109375" style="174" customWidth="1"/>
    <col min="1794" max="1794" width="13.7109375" style="174" customWidth="1"/>
    <col min="1795" max="1795" width="1.5703125" style="174" customWidth="1"/>
    <col min="1796" max="1803" width="13.7109375" style="174" customWidth="1"/>
    <col min="1804" max="2048" width="11.42578125" style="174"/>
    <col min="2049" max="2049" width="6.7109375" style="174" customWidth="1"/>
    <col min="2050" max="2050" width="13.7109375" style="174" customWidth="1"/>
    <col min="2051" max="2051" width="1.5703125" style="174" customWidth="1"/>
    <col min="2052" max="2059" width="13.7109375" style="174" customWidth="1"/>
    <col min="2060" max="2304" width="11.42578125" style="174"/>
    <col min="2305" max="2305" width="6.7109375" style="174" customWidth="1"/>
    <col min="2306" max="2306" width="13.7109375" style="174" customWidth="1"/>
    <col min="2307" max="2307" width="1.5703125" style="174" customWidth="1"/>
    <col min="2308" max="2315" width="13.7109375" style="174" customWidth="1"/>
    <col min="2316" max="2560" width="11.42578125" style="174"/>
    <col min="2561" max="2561" width="6.7109375" style="174" customWidth="1"/>
    <col min="2562" max="2562" width="13.7109375" style="174" customWidth="1"/>
    <col min="2563" max="2563" width="1.5703125" style="174" customWidth="1"/>
    <col min="2564" max="2571" width="13.7109375" style="174" customWidth="1"/>
    <col min="2572" max="2816" width="11.42578125" style="174"/>
    <col min="2817" max="2817" width="6.7109375" style="174" customWidth="1"/>
    <col min="2818" max="2818" width="13.7109375" style="174" customWidth="1"/>
    <col min="2819" max="2819" width="1.5703125" style="174" customWidth="1"/>
    <col min="2820" max="2827" width="13.7109375" style="174" customWidth="1"/>
    <col min="2828" max="3072" width="11.42578125" style="174"/>
    <col min="3073" max="3073" width="6.7109375" style="174" customWidth="1"/>
    <col min="3074" max="3074" width="13.7109375" style="174" customWidth="1"/>
    <col min="3075" max="3075" width="1.5703125" style="174" customWidth="1"/>
    <col min="3076" max="3083" width="13.7109375" style="174" customWidth="1"/>
    <col min="3084" max="3328" width="11.42578125" style="174"/>
    <col min="3329" max="3329" width="6.7109375" style="174" customWidth="1"/>
    <col min="3330" max="3330" width="13.7109375" style="174" customWidth="1"/>
    <col min="3331" max="3331" width="1.5703125" style="174" customWidth="1"/>
    <col min="3332" max="3339" width="13.7109375" style="174" customWidth="1"/>
    <col min="3340" max="3584" width="11.42578125" style="174"/>
    <col min="3585" max="3585" width="6.7109375" style="174" customWidth="1"/>
    <col min="3586" max="3586" width="13.7109375" style="174" customWidth="1"/>
    <col min="3587" max="3587" width="1.5703125" style="174" customWidth="1"/>
    <col min="3588" max="3595" width="13.7109375" style="174" customWidth="1"/>
    <col min="3596" max="3840" width="11.42578125" style="174"/>
    <col min="3841" max="3841" width="6.7109375" style="174" customWidth="1"/>
    <col min="3842" max="3842" width="13.7109375" style="174" customWidth="1"/>
    <col min="3843" max="3843" width="1.5703125" style="174" customWidth="1"/>
    <col min="3844" max="3851" width="13.7109375" style="174" customWidth="1"/>
    <col min="3852" max="4096" width="11.42578125" style="174"/>
    <col min="4097" max="4097" width="6.7109375" style="174" customWidth="1"/>
    <col min="4098" max="4098" width="13.7109375" style="174" customWidth="1"/>
    <col min="4099" max="4099" width="1.5703125" style="174" customWidth="1"/>
    <col min="4100" max="4107" width="13.7109375" style="174" customWidth="1"/>
    <col min="4108" max="4352" width="11.42578125" style="174"/>
    <col min="4353" max="4353" width="6.7109375" style="174" customWidth="1"/>
    <col min="4354" max="4354" width="13.7109375" style="174" customWidth="1"/>
    <col min="4355" max="4355" width="1.5703125" style="174" customWidth="1"/>
    <col min="4356" max="4363" width="13.7109375" style="174" customWidth="1"/>
    <col min="4364" max="4608" width="11.42578125" style="174"/>
    <col min="4609" max="4609" width="6.7109375" style="174" customWidth="1"/>
    <col min="4610" max="4610" width="13.7109375" style="174" customWidth="1"/>
    <col min="4611" max="4611" width="1.5703125" style="174" customWidth="1"/>
    <col min="4612" max="4619" width="13.7109375" style="174" customWidth="1"/>
    <col min="4620" max="4864" width="11.42578125" style="174"/>
    <col min="4865" max="4865" width="6.7109375" style="174" customWidth="1"/>
    <col min="4866" max="4866" width="13.7109375" style="174" customWidth="1"/>
    <col min="4867" max="4867" width="1.5703125" style="174" customWidth="1"/>
    <col min="4868" max="4875" width="13.7109375" style="174" customWidth="1"/>
    <col min="4876" max="5120" width="11.42578125" style="174"/>
    <col min="5121" max="5121" width="6.7109375" style="174" customWidth="1"/>
    <col min="5122" max="5122" width="13.7109375" style="174" customWidth="1"/>
    <col min="5123" max="5123" width="1.5703125" style="174" customWidth="1"/>
    <col min="5124" max="5131" width="13.7109375" style="174" customWidth="1"/>
    <col min="5132" max="5376" width="11.42578125" style="174"/>
    <col min="5377" max="5377" width="6.7109375" style="174" customWidth="1"/>
    <col min="5378" max="5378" width="13.7109375" style="174" customWidth="1"/>
    <col min="5379" max="5379" width="1.5703125" style="174" customWidth="1"/>
    <col min="5380" max="5387" width="13.7109375" style="174" customWidth="1"/>
    <col min="5388" max="5632" width="11.42578125" style="174"/>
    <col min="5633" max="5633" width="6.7109375" style="174" customWidth="1"/>
    <col min="5634" max="5634" width="13.7109375" style="174" customWidth="1"/>
    <col min="5635" max="5635" width="1.5703125" style="174" customWidth="1"/>
    <col min="5636" max="5643" width="13.7109375" style="174" customWidth="1"/>
    <col min="5644" max="5888" width="11.42578125" style="174"/>
    <col min="5889" max="5889" width="6.7109375" style="174" customWidth="1"/>
    <col min="5890" max="5890" width="13.7109375" style="174" customWidth="1"/>
    <col min="5891" max="5891" width="1.5703125" style="174" customWidth="1"/>
    <col min="5892" max="5899" width="13.7109375" style="174" customWidth="1"/>
    <col min="5900" max="6144" width="11.42578125" style="174"/>
    <col min="6145" max="6145" width="6.7109375" style="174" customWidth="1"/>
    <col min="6146" max="6146" width="13.7109375" style="174" customWidth="1"/>
    <col min="6147" max="6147" width="1.5703125" style="174" customWidth="1"/>
    <col min="6148" max="6155" width="13.7109375" style="174" customWidth="1"/>
    <col min="6156" max="6400" width="11.42578125" style="174"/>
    <col min="6401" max="6401" width="6.7109375" style="174" customWidth="1"/>
    <col min="6402" max="6402" width="13.7109375" style="174" customWidth="1"/>
    <col min="6403" max="6403" width="1.5703125" style="174" customWidth="1"/>
    <col min="6404" max="6411" width="13.7109375" style="174" customWidth="1"/>
    <col min="6412" max="6656" width="11.42578125" style="174"/>
    <col min="6657" max="6657" width="6.7109375" style="174" customWidth="1"/>
    <col min="6658" max="6658" width="13.7109375" style="174" customWidth="1"/>
    <col min="6659" max="6659" width="1.5703125" style="174" customWidth="1"/>
    <col min="6660" max="6667" width="13.7109375" style="174" customWidth="1"/>
    <col min="6668" max="6912" width="11.42578125" style="174"/>
    <col min="6913" max="6913" width="6.7109375" style="174" customWidth="1"/>
    <col min="6914" max="6914" width="13.7109375" style="174" customWidth="1"/>
    <col min="6915" max="6915" width="1.5703125" style="174" customWidth="1"/>
    <col min="6916" max="6923" width="13.7109375" style="174" customWidth="1"/>
    <col min="6924" max="7168" width="11.42578125" style="174"/>
    <col min="7169" max="7169" width="6.7109375" style="174" customWidth="1"/>
    <col min="7170" max="7170" width="13.7109375" style="174" customWidth="1"/>
    <col min="7171" max="7171" width="1.5703125" style="174" customWidth="1"/>
    <col min="7172" max="7179" width="13.7109375" style="174" customWidth="1"/>
    <col min="7180" max="7424" width="11.42578125" style="174"/>
    <col min="7425" max="7425" width="6.7109375" style="174" customWidth="1"/>
    <col min="7426" max="7426" width="13.7109375" style="174" customWidth="1"/>
    <col min="7427" max="7427" width="1.5703125" style="174" customWidth="1"/>
    <col min="7428" max="7435" width="13.7109375" style="174" customWidth="1"/>
    <col min="7436" max="7680" width="11.42578125" style="174"/>
    <col min="7681" max="7681" width="6.7109375" style="174" customWidth="1"/>
    <col min="7682" max="7682" width="13.7109375" style="174" customWidth="1"/>
    <col min="7683" max="7683" width="1.5703125" style="174" customWidth="1"/>
    <col min="7684" max="7691" width="13.7109375" style="174" customWidth="1"/>
    <col min="7692" max="7936" width="11.42578125" style="174"/>
    <col min="7937" max="7937" width="6.7109375" style="174" customWidth="1"/>
    <col min="7938" max="7938" width="13.7109375" style="174" customWidth="1"/>
    <col min="7939" max="7939" width="1.5703125" style="174" customWidth="1"/>
    <col min="7940" max="7947" width="13.7109375" style="174" customWidth="1"/>
    <col min="7948" max="8192" width="11.42578125" style="174"/>
    <col min="8193" max="8193" width="6.7109375" style="174" customWidth="1"/>
    <col min="8194" max="8194" width="13.7109375" style="174" customWidth="1"/>
    <col min="8195" max="8195" width="1.5703125" style="174" customWidth="1"/>
    <col min="8196" max="8203" width="13.7109375" style="174" customWidth="1"/>
    <col min="8204" max="8448" width="11.42578125" style="174"/>
    <col min="8449" max="8449" width="6.7109375" style="174" customWidth="1"/>
    <col min="8450" max="8450" width="13.7109375" style="174" customWidth="1"/>
    <col min="8451" max="8451" width="1.5703125" style="174" customWidth="1"/>
    <col min="8452" max="8459" width="13.7109375" style="174" customWidth="1"/>
    <col min="8460" max="8704" width="11.42578125" style="174"/>
    <col min="8705" max="8705" width="6.7109375" style="174" customWidth="1"/>
    <col min="8706" max="8706" width="13.7109375" style="174" customWidth="1"/>
    <col min="8707" max="8707" width="1.5703125" style="174" customWidth="1"/>
    <col min="8708" max="8715" width="13.7109375" style="174" customWidth="1"/>
    <col min="8716" max="8960" width="11.42578125" style="174"/>
    <col min="8961" max="8961" width="6.7109375" style="174" customWidth="1"/>
    <col min="8962" max="8962" width="13.7109375" style="174" customWidth="1"/>
    <col min="8963" max="8963" width="1.5703125" style="174" customWidth="1"/>
    <col min="8964" max="8971" width="13.7109375" style="174" customWidth="1"/>
    <col min="8972" max="9216" width="11.42578125" style="174"/>
    <col min="9217" max="9217" width="6.7109375" style="174" customWidth="1"/>
    <col min="9218" max="9218" width="13.7109375" style="174" customWidth="1"/>
    <col min="9219" max="9219" width="1.5703125" style="174" customWidth="1"/>
    <col min="9220" max="9227" width="13.7109375" style="174" customWidth="1"/>
    <col min="9228" max="9472" width="11.42578125" style="174"/>
    <col min="9473" max="9473" width="6.7109375" style="174" customWidth="1"/>
    <col min="9474" max="9474" width="13.7109375" style="174" customWidth="1"/>
    <col min="9475" max="9475" width="1.5703125" style="174" customWidth="1"/>
    <col min="9476" max="9483" width="13.7109375" style="174" customWidth="1"/>
    <col min="9484" max="9728" width="11.42578125" style="174"/>
    <col min="9729" max="9729" width="6.7109375" style="174" customWidth="1"/>
    <col min="9730" max="9730" width="13.7109375" style="174" customWidth="1"/>
    <col min="9731" max="9731" width="1.5703125" style="174" customWidth="1"/>
    <col min="9732" max="9739" width="13.7109375" style="174" customWidth="1"/>
    <col min="9740" max="9984" width="11.42578125" style="174"/>
    <col min="9985" max="9985" width="6.7109375" style="174" customWidth="1"/>
    <col min="9986" max="9986" width="13.7109375" style="174" customWidth="1"/>
    <col min="9987" max="9987" width="1.5703125" style="174" customWidth="1"/>
    <col min="9988" max="9995" width="13.7109375" style="174" customWidth="1"/>
    <col min="9996" max="10240" width="11.42578125" style="174"/>
    <col min="10241" max="10241" width="6.7109375" style="174" customWidth="1"/>
    <col min="10242" max="10242" width="13.7109375" style="174" customWidth="1"/>
    <col min="10243" max="10243" width="1.5703125" style="174" customWidth="1"/>
    <col min="10244" max="10251" width="13.7109375" style="174" customWidth="1"/>
    <col min="10252" max="10496" width="11.42578125" style="174"/>
    <col min="10497" max="10497" width="6.7109375" style="174" customWidth="1"/>
    <col min="10498" max="10498" width="13.7109375" style="174" customWidth="1"/>
    <col min="10499" max="10499" width="1.5703125" style="174" customWidth="1"/>
    <col min="10500" max="10507" width="13.7109375" style="174" customWidth="1"/>
    <col min="10508" max="10752" width="11.42578125" style="174"/>
    <col min="10753" max="10753" width="6.7109375" style="174" customWidth="1"/>
    <col min="10754" max="10754" width="13.7109375" style="174" customWidth="1"/>
    <col min="10755" max="10755" width="1.5703125" style="174" customWidth="1"/>
    <col min="10756" max="10763" width="13.7109375" style="174" customWidth="1"/>
    <col min="10764" max="11008" width="11.42578125" style="174"/>
    <col min="11009" max="11009" width="6.7109375" style="174" customWidth="1"/>
    <col min="11010" max="11010" width="13.7109375" style="174" customWidth="1"/>
    <col min="11011" max="11011" width="1.5703125" style="174" customWidth="1"/>
    <col min="11012" max="11019" width="13.7109375" style="174" customWidth="1"/>
    <col min="11020" max="11264" width="11.42578125" style="174"/>
    <col min="11265" max="11265" width="6.7109375" style="174" customWidth="1"/>
    <col min="11266" max="11266" width="13.7109375" style="174" customWidth="1"/>
    <col min="11267" max="11267" width="1.5703125" style="174" customWidth="1"/>
    <col min="11268" max="11275" width="13.7109375" style="174" customWidth="1"/>
    <col min="11276" max="11520" width="11.42578125" style="174"/>
    <col min="11521" max="11521" width="6.7109375" style="174" customWidth="1"/>
    <col min="11522" max="11522" width="13.7109375" style="174" customWidth="1"/>
    <col min="11523" max="11523" width="1.5703125" style="174" customWidth="1"/>
    <col min="11524" max="11531" width="13.7109375" style="174" customWidth="1"/>
    <col min="11532" max="11776" width="11.42578125" style="174"/>
    <col min="11777" max="11777" width="6.7109375" style="174" customWidth="1"/>
    <col min="11778" max="11778" width="13.7109375" style="174" customWidth="1"/>
    <col min="11779" max="11779" width="1.5703125" style="174" customWidth="1"/>
    <col min="11780" max="11787" width="13.7109375" style="174" customWidth="1"/>
    <col min="11788" max="12032" width="11.42578125" style="174"/>
    <col min="12033" max="12033" width="6.7109375" style="174" customWidth="1"/>
    <col min="12034" max="12034" width="13.7109375" style="174" customWidth="1"/>
    <col min="12035" max="12035" width="1.5703125" style="174" customWidth="1"/>
    <col min="12036" max="12043" width="13.7109375" style="174" customWidth="1"/>
    <col min="12044" max="12288" width="11.42578125" style="174"/>
    <col min="12289" max="12289" width="6.7109375" style="174" customWidth="1"/>
    <col min="12290" max="12290" width="13.7109375" style="174" customWidth="1"/>
    <col min="12291" max="12291" width="1.5703125" style="174" customWidth="1"/>
    <col min="12292" max="12299" width="13.7109375" style="174" customWidth="1"/>
    <col min="12300" max="12544" width="11.42578125" style="174"/>
    <col min="12545" max="12545" width="6.7109375" style="174" customWidth="1"/>
    <col min="12546" max="12546" width="13.7109375" style="174" customWidth="1"/>
    <col min="12547" max="12547" width="1.5703125" style="174" customWidth="1"/>
    <col min="12548" max="12555" width="13.7109375" style="174" customWidth="1"/>
    <col min="12556" max="12800" width="11.42578125" style="174"/>
    <col min="12801" max="12801" width="6.7109375" style="174" customWidth="1"/>
    <col min="12802" max="12802" width="13.7109375" style="174" customWidth="1"/>
    <col min="12803" max="12803" width="1.5703125" style="174" customWidth="1"/>
    <col min="12804" max="12811" width="13.7109375" style="174" customWidth="1"/>
    <col min="12812" max="13056" width="11.42578125" style="174"/>
    <col min="13057" max="13057" width="6.7109375" style="174" customWidth="1"/>
    <col min="13058" max="13058" width="13.7109375" style="174" customWidth="1"/>
    <col min="13059" max="13059" width="1.5703125" style="174" customWidth="1"/>
    <col min="13060" max="13067" width="13.7109375" style="174" customWidth="1"/>
    <col min="13068" max="13312" width="11.42578125" style="174"/>
    <col min="13313" max="13313" width="6.7109375" style="174" customWidth="1"/>
    <col min="13314" max="13314" width="13.7109375" style="174" customWidth="1"/>
    <col min="13315" max="13315" width="1.5703125" style="174" customWidth="1"/>
    <col min="13316" max="13323" width="13.7109375" style="174" customWidth="1"/>
    <col min="13324" max="13568" width="11.42578125" style="174"/>
    <col min="13569" max="13569" width="6.7109375" style="174" customWidth="1"/>
    <col min="13570" max="13570" width="13.7109375" style="174" customWidth="1"/>
    <col min="13571" max="13571" width="1.5703125" style="174" customWidth="1"/>
    <col min="13572" max="13579" width="13.7109375" style="174" customWidth="1"/>
    <col min="13580" max="13824" width="11.42578125" style="174"/>
    <col min="13825" max="13825" width="6.7109375" style="174" customWidth="1"/>
    <col min="13826" max="13826" width="13.7109375" style="174" customWidth="1"/>
    <col min="13827" max="13827" width="1.5703125" style="174" customWidth="1"/>
    <col min="13828" max="13835" width="13.7109375" style="174" customWidth="1"/>
    <col min="13836" max="14080" width="11.42578125" style="174"/>
    <col min="14081" max="14081" width="6.7109375" style="174" customWidth="1"/>
    <col min="14082" max="14082" width="13.7109375" style="174" customWidth="1"/>
    <col min="14083" max="14083" width="1.5703125" style="174" customWidth="1"/>
    <col min="14084" max="14091" width="13.7109375" style="174" customWidth="1"/>
    <col min="14092" max="14336" width="11.42578125" style="174"/>
    <col min="14337" max="14337" width="6.7109375" style="174" customWidth="1"/>
    <col min="14338" max="14338" width="13.7109375" style="174" customWidth="1"/>
    <col min="14339" max="14339" width="1.5703125" style="174" customWidth="1"/>
    <col min="14340" max="14347" width="13.7109375" style="174" customWidth="1"/>
    <col min="14348" max="14592" width="11.42578125" style="174"/>
    <col min="14593" max="14593" width="6.7109375" style="174" customWidth="1"/>
    <col min="14594" max="14594" width="13.7109375" style="174" customWidth="1"/>
    <col min="14595" max="14595" width="1.5703125" style="174" customWidth="1"/>
    <col min="14596" max="14603" width="13.7109375" style="174" customWidth="1"/>
    <col min="14604" max="14848" width="11.42578125" style="174"/>
    <col min="14849" max="14849" width="6.7109375" style="174" customWidth="1"/>
    <col min="14850" max="14850" width="13.7109375" style="174" customWidth="1"/>
    <col min="14851" max="14851" width="1.5703125" style="174" customWidth="1"/>
    <col min="14852" max="14859" width="13.7109375" style="174" customWidth="1"/>
    <col min="14860" max="15104" width="11.42578125" style="174"/>
    <col min="15105" max="15105" width="6.7109375" style="174" customWidth="1"/>
    <col min="15106" max="15106" width="13.7109375" style="174" customWidth="1"/>
    <col min="15107" max="15107" width="1.5703125" style="174" customWidth="1"/>
    <col min="15108" max="15115" width="13.7109375" style="174" customWidth="1"/>
    <col min="15116" max="15360" width="11.42578125" style="174"/>
    <col min="15361" max="15361" width="6.7109375" style="174" customWidth="1"/>
    <col min="15362" max="15362" width="13.7109375" style="174" customWidth="1"/>
    <col min="15363" max="15363" width="1.5703125" style="174" customWidth="1"/>
    <col min="15364" max="15371" width="13.7109375" style="174" customWidth="1"/>
    <col min="15372" max="15616" width="11.42578125" style="174"/>
    <col min="15617" max="15617" width="6.7109375" style="174" customWidth="1"/>
    <col min="15618" max="15618" width="13.7109375" style="174" customWidth="1"/>
    <col min="15619" max="15619" width="1.5703125" style="174" customWidth="1"/>
    <col min="15620" max="15627" width="13.7109375" style="174" customWidth="1"/>
    <col min="15628" max="15872" width="11.42578125" style="174"/>
    <col min="15873" max="15873" width="6.7109375" style="174" customWidth="1"/>
    <col min="15874" max="15874" width="13.7109375" style="174" customWidth="1"/>
    <col min="15875" max="15875" width="1.5703125" style="174" customWidth="1"/>
    <col min="15876" max="15883" width="13.7109375" style="174" customWidth="1"/>
    <col min="15884" max="16128" width="11.42578125" style="174"/>
    <col min="16129" max="16129" width="6.7109375" style="174" customWidth="1"/>
    <col min="16130" max="16130" width="13.7109375" style="174" customWidth="1"/>
    <col min="16131" max="16131" width="1.5703125" style="174" customWidth="1"/>
    <col min="16132" max="16139" width="13.7109375" style="174" customWidth="1"/>
    <col min="16140" max="16384" width="11.42578125" style="174"/>
  </cols>
  <sheetData>
    <row r="1" spans="1:16" ht="13.5" thickBot="1" x14ac:dyDescent="0.25"/>
    <row r="2" spans="1:16" ht="47.1" customHeight="1" thickBot="1" x14ac:dyDescent="0.25">
      <c r="B2" s="390" t="s">
        <v>252</v>
      </c>
      <c r="C2" s="391"/>
      <c r="D2" s="391"/>
      <c r="E2" s="391"/>
      <c r="F2" s="391"/>
      <c r="G2" s="391"/>
      <c r="H2" s="391"/>
      <c r="I2" s="391"/>
      <c r="J2" s="391"/>
      <c r="K2" s="391"/>
      <c r="L2" s="391"/>
      <c r="M2" s="391"/>
      <c r="N2" s="391"/>
      <c r="O2" s="392"/>
      <c r="P2" s="240" t="s">
        <v>20</v>
      </c>
    </row>
    <row r="3" spans="1:16" ht="14.45" customHeight="1" thickBot="1" x14ac:dyDescent="0.45">
      <c r="C3" s="176"/>
      <c r="D3" s="176"/>
      <c r="E3" s="176"/>
      <c r="F3" s="176"/>
      <c r="G3" s="176"/>
    </row>
    <row r="4" spans="1:16" s="172" customFormat="1" x14ac:dyDescent="0.2">
      <c r="B4" s="462" t="s">
        <v>105</v>
      </c>
      <c r="C4" s="463"/>
      <c r="D4" s="463"/>
      <c r="E4" s="463"/>
      <c r="F4" s="463"/>
      <c r="G4" s="463"/>
      <c r="H4" s="463"/>
      <c r="I4" s="463"/>
      <c r="J4" s="463"/>
      <c r="K4" s="463"/>
      <c r="L4" s="463"/>
      <c r="M4" s="463"/>
      <c r="N4" s="463"/>
      <c r="O4" s="464"/>
      <c r="P4" s="179"/>
    </row>
    <row r="5" spans="1:16" s="172" customFormat="1" ht="31.5" customHeight="1" thickBot="1" x14ac:dyDescent="0.25">
      <c r="B5" s="465" t="s">
        <v>106</v>
      </c>
      <c r="C5" s="466"/>
      <c r="D5" s="466"/>
      <c r="E5" s="466"/>
      <c r="F5" s="466"/>
      <c r="G5" s="466"/>
      <c r="H5" s="466"/>
      <c r="I5" s="466"/>
      <c r="J5" s="466"/>
      <c r="K5" s="466"/>
      <c r="L5" s="466"/>
      <c r="M5" s="466"/>
      <c r="N5" s="466"/>
      <c r="O5" s="467"/>
      <c r="P5" s="186"/>
    </row>
    <row r="6" spans="1:16" s="173" customFormat="1" ht="14.45" customHeight="1" x14ac:dyDescent="0.2">
      <c r="I6" s="175"/>
      <c r="L6" s="172"/>
      <c r="M6" s="172"/>
      <c r="N6" s="172"/>
      <c r="O6" s="172"/>
      <c r="P6" s="172"/>
    </row>
    <row r="7" spans="1:16" s="173" customFormat="1" ht="14.45" customHeight="1" x14ac:dyDescent="0.2">
      <c r="C7" s="177" t="s">
        <v>107</v>
      </c>
      <c r="D7" s="404">
        <f>Header!$D$4</f>
        <v>0</v>
      </c>
      <c r="E7" s="405"/>
      <c r="F7" s="179"/>
      <c r="M7" s="172"/>
    </row>
    <row r="8" spans="1:16" s="173" customFormat="1" ht="14.45" customHeight="1" x14ac:dyDescent="0.2">
      <c r="C8" s="177" t="s">
        <v>4</v>
      </c>
      <c r="D8" s="404">
        <f>Header!$D$5</f>
        <v>0</v>
      </c>
      <c r="E8" s="405"/>
      <c r="F8" s="179" t="s">
        <v>108</v>
      </c>
    </row>
    <row r="9" spans="1:16" s="173" customFormat="1" ht="14.45" customHeight="1" x14ac:dyDescent="0.2">
      <c r="C9" s="177" t="s">
        <v>5</v>
      </c>
      <c r="D9" s="404">
        <f>Header!$D$6</f>
        <v>0</v>
      </c>
      <c r="E9" s="405"/>
      <c r="F9" s="179"/>
    </row>
    <row r="10" spans="1:16" s="173" customFormat="1" ht="14.45" customHeight="1" x14ac:dyDescent="0.2">
      <c r="C10" s="177" t="s">
        <v>109</v>
      </c>
      <c r="D10" s="404">
        <f>YEAR(Header!$D$11)</f>
        <v>1900</v>
      </c>
      <c r="E10" s="405"/>
      <c r="F10" s="179"/>
    </row>
    <row r="11" spans="1:16" s="173" customFormat="1" ht="14.45" customHeight="1" x14ac:dyDescent="0.2">
      <c r="C11" s="177" t="s">
        <v>14</v>
      </c>
      <c r="D11" s="404">
        <f>Header!$D$15</f>
        <v>0</v>
      </c>
      <c r="E11" s="405"/>
      <c r="F11" s="179"/>
    </row>
    <row r="12" spans="1:16" s="173" customFormat="1" ht="14.45" customHeight="1" x14ac:dyDescent="0.2">
      <c r="C12" s="177" t="s">
        <v>110</v>
      </c>
      <c r="D12" s="384"/>
      <c r="E12" s="386"/>
      <c r="F12" s="179"/>
    </row>
    <row r="13" spans="1:16" s="173" customFormat="1" ht="14.45" customHeight="1" thickBot="1" x14ac:dyDescent="0.25"/>
    <row r="14" spans="1:16" s="173" customFormat="1" ht="26.25" thickBot="1" x14ac:dyDescent="0.25">
      <c r="A14" s="174"/>
      <c r="B14" s="189" t="s">
        <v>253</v>
      </c>
      <c r="C14" s="87" t="s">
        <v>183</v>
      </c>
      <c r="D14" s="35" t="s">
        <v>254</v>
      </c>
      <c r="E14" s="35" t="s">
        <v>255</v>
      </c>
      <c r="F14" s="88" t="s">
        <v>256</v>
      </c>
      <c r="G14" s="88" t="s">
        <v>257</v>
      </c>
      <c r="H14" s="88" t="s">
        <v>258</v>
      </c>
      <c r="I14" s="88" t="s">
        <v>259</v>
      </c>
      <c r="J14" s="88" t="s">
        <v>260</v>
      </c>
      <c r="K14" s="88" t="s">
        <v>261</v>
      </c>
      <c r="L14" s="88" t="s">
        <v>262</v>
      </c>
      <c r="M14" s="88" t="s">
        <v>263</v>
      </c>
      <c r="N14" s="88" t="s">
        <v>264</v>
      </c>
      <c r="O14" s="89" t="s">
        <v>265</v>
      </c>
    </row>
    <row r="15" spans="1:16" s="173" customFormat="1" ht="14.45" customHeight="1" x14ac:dyDescent="0.2">
      <c r="A15" s="174"/>
      <c r="B15" s="190">
        <v>1</v>
      </c>
      <c r="C15" s="364"/>
      <c r="D15" s="147"/>
      <c r="E15" s="147"/>
      <c r="F15" s="147"/>
      <c r="G15" s="365"/>
      <c r="H15" s="365"/>
      <c r="I15" s="364"/>
      <c r="J15" s="364"/>
      <c r="K15" s="365"/>
      <c r="L15" s="365"/>
      <c r="M15" s="365"/>
      <c r="N15" s="365"/>
      <c r="O15" s="366"/>
    </row>
    <row r="16" spans="1:16" s="173" customFormat="1" ht="14.45" customHeight="1" x14ac:dyDescent="0.2">
      <c r="A16" s="174"/>
      <c r="B16" s="190">
        <v>2</v>
      </c>
      <c r="C16" s="367"/>
      <c r="D16" s="148"/>
      <c r="E16" s="148"/>
      <c r="F16" s="148"/>
      <c r="G16" s="315"/>
      <c r="H16" s="315"/>
      <c r="I16" s="367"/>
      <c r="J16" s="367"/>
      <c r="K16" s="315"/>
      <c r="L16" s="315"/>
      <c r="M16" s="315"/>
      <c r="N16" s="315"/>
      <c r="O16" s="316"/>
    </row>
    <row r="17" spans="1:15" s="173" customFormat="1" ht="14.45" customHeight="1" x14ac:dyDescent="0.2">
      <c r="A17" s="174"/>
      <c r="B17" s="190">
        <v>3</v>
      </c>
      <c r="C17" s="367"/>
      <c r="D17" s="148"/>
      <c r="E17" s="148"/>
      <c r="F17" s="148"/>
      <c r="G17" s="315"/>
      <c r="H17" s="315"/>
      <c r="I17" s="367"/>
      <c r="J17" s="367"/>
      <c r="K17" s="315"/>
      <c r="L17" s="315"/>
      <c r="M17" s="315"/>
      <c r="N17" s="315"/>
      <c r="O17" s="316"/>
    </row>
    <row r="18" spans="1:15" s="173" customFormat="1" ht="14.45" customHeight="1" x14ac:dyDescent="0.2">
      <c r="A18" s="174"/>
      <c r="B18" s="190">
        <v>4</v>
      </c>
      <c r="C18" s="367"/>
      <c r="D18" s="148"/>
      <c r="E18" s="148"/>
      <c r="F18" s="148"/>
      <c r="G18" s="315"/>
      <c r="H18" s="315"/>
      <c r="I18" s="367"/>
      <c r="J18" s="367"/>
      <c r="K18" s="315"/>
      <c r="L18" s="315"/>
      <c r="M18" s="315"/>
      <c r="N18" s="315"/>
      <c r="O18" s="316"/>
    </row>
    <row r="19" spans="1:15" s="173" customFormat="1" ht="14.45" customHeight="1" x14ac:dyDescent="0.2">
      <c r="A19" s="174"/>
      <c r="B19" s="190">
        <v>5</v>
      </c>
      <c r="C19" s="367"/>
      <c r="D19" s="148"/>
      <c r="E19" s="148"/>
      <c r="F19" s="148"/>
      <c r="G19" s="315"/>
      <c r="H19" s="315"/>
      <c r="I19" s="367"/>
      <c r="J19" s="367"/>
      <c r="K19" s="315"/>
      <c r="L19" s="315"/>
      <c r="M19" s="315"/>
      <c r="N19" s="315"/>
      <c r="O19" s="316"/>
    </row>
    <row r="20" spans="1:15" s="173" customFormat="1" ht="14.45" customHeight="1" x14ac:dyDescent="0.2">
      <c r="A20" s="174"/>
      <c r="B20" s="190">
        <v>6</v>
      </c>
      <c r="C20" s="367"/>
      <c r="D20" s="148"/>
      <c r="E20" s="148"/>
      <c r="F20" s="148"/>
      <c r="G20" s="315"/>
      <c r="H20" s="315"/>
      <c r="I20" s="367"/>
      <c r="J20" s="367"/>
      <c r="K20" s="315"/>
      <c r="L20" s="315"/>
      <c r="M20" s="315"/>
      <c r="N20" s="315"/>
      <c r="O20" s="316"/>
    </row>
    <row r="21" spans="1:15" s="173" customFormat="1" ht="14.45" customHeight="1" x14ac:dyDescent="0.2">
      <c r="A21" s="174"/>
      <c r="B21" s="190">
        <v>7</v>
      </c>
      <c r="C21" s="367"/>
      <c r="D21" s="148"/>
      <c r="E21" s="148"/>
      <c r="F21" s="148"/>
      <c r="G21" s="315"/>
      <c r="H21" s="315"/>
      <c r="I21" s="367"/>
      <c r="J21" s="367"/>
      <c r="K21" s="315"/>
      <c r="L21" s="315"/>
      <c r="M21" s="315"/>
      <c r="N21" s="315"/>
      <c r="O21" s="316"/>
    </row>
    <row r="22" spans="1:15" s="173" customFormat="1" ht="14.45" customHeight="1" x14ac:dyDescent="0.2">
      <c r="A22" s="174"/>
      <c r="B22" s="190">
        <v>8</v>
      </c>
      <c r="C22" s="367"/>
      <c r="D22" s="148"/>
      <c r="E22" s="148"/>
      <c r="F22" s="148"/>
      <c r="G22" s="315"/>
      <c r="H22" s="315"/>
      <c r="I22" s="367"/>
      <c r="J22" s="367"/>
      <c r="K22" s="315"/>
      <c r="L22" s="315"/>
      <c r="M22" s="315"/>
      <c r="N22" s="315"/>
      <c r="O22" s="316"/>
    </row>
    <row r="23" spans="1:15" s="173" customFormat="1" ht="14.45" customHeight="1" x14ac:dyDescent="0.2">
      <c r="A23" s="174"/>
      <c r="B23" s="190">
        <v>9</v>
      </c>
      <c r="C23" s="367"/>
      <c r="D23" s="148"/>
      <c r="E23" s="148"/>
      <c r="F23" s="148"/>
      <c r="G23" s="315"/>
      <c r="H23" s="315"/>
      <c r="I23" s="367"/>
      <c r="J23" s="367"/>
      <c r="K23" s="315"/>
      <c r="L23" s="315"/>
      <c r="M23" s="315"/>
      <c r="N23" s="315"/>
      <c r="O23" s="316"/>
    </row>
    <row r="24" spans="1:15" s="173" customFormat="1" ht="14.45" customHeight="1" x14ac:dyDescent="0.2">
      <c r="A24" s="174"/>
      <c r="B24" s="190">
        <v>10</v>
      </c>
      <c r="C24" s="367"/>
      <c r="D24" s="148"/>
      <c r="E24" s="148"/>
      <c r="F24" s="148"/>
      <c r="G24" s="315"/>
      <c r="H24" s="315"/>
      <c r="I24" s="367"/>
      <c r="J24" s="367"/>
      <c r="K24" s="315"/>
      <c r="L24" s="315"/>
      <c r="M24" s="315"/>
      <c r="N24" s="315"/>
      <c r="O24" s="316"/>
    </row>
    <row r="25" spans="1:15" s="173" customFormat="1" ht="14.45" customHeight="1" x14ac:dyDescent="0.2">
      <c r="A25" s="174"/>
      <c r="B25" s="190">
        <v>11</v>
      </c>
      <c r="C25" s="367"/>
      <c r="D25" s="148"/>
      <c r="E25" s="148"/>
      <c r="F25" s="148"/>
      <c r="G25" s="315"/>
      <c r="H25" s="315"/>
      <c r="I25" s="367"/>
      <c r="J25" s="367"/>
      <c r="K25" s="315"/>
      <c r="L25" s="315"/>
      <c r="M25" s="315"/>
      <c r="N25" s="315"/>
      <c r="O25" s="316"/>
    </row>
    <row r="26" spans="1:15" s="173" customFormat="1" ht="14.45" customHeight="1" x14ac:dyDescent="0.2">
      <c r="A26" s="174"/>
      <c r="B26" s="190">
        <v>12</v>
      </c>
      <c r="C26" s="367"/>
      <c r="D26" s="148"/>
      <c r="E26" s="148"/>
      <c r="F26" s="148"/>
      <c r="G26" s="315"/>
      <c r="H26" s="315"/>
      <c r="I26" s="367"/>
      <c r="J26" s="367"/>
      <c r="K26" s="315"/>
      <c r="L26" s="315"/>
      <c r="M26" s="315"/>
      <c r="N26" s="315"/>
      <c r="O26" s="316"/>
    </row>
    <row r="27" spans="1:15" s="173" customFormat="1" ht="14.45" customHeight="1" x14ac:dyDescent="0.2">
      <c r="A27" s="174"/>
      <c r="B27" s="190">
        <v>13</v>
      </c>
      <c r="C27" s="367"/>
      <c r="D27" s="148"/>
      <c r="E27" s="148"/>
      <c r="F27" s="148"/>
      <c r="G27" s="315"/>
      <c r="H27" s="315"/>
      <c r="I27" s="367"/>
      <c r="J27" s="367"/>
      <c r="K27" s="315"/>
      <c r="L27" s="315"/>
      <c r="M27" s="315"/>
      <c r="N27" s="315"/>
      <c r="O27" s="316"/>
    </row>
    <row r="28" spans="1:15" s="173" customFormat="1" ht="14.45" customHeight="1" x14ac:dyDescent="0.2">
      <c r="A28" s="174"/>
      <c r="B28" s="190">
        <v>14</v>
      </c>
      <c r="C28" s="367"/>
      <c r="D28" s="148"/>
      <c r="E28" s="148"/>
      <c r="F28" s="148"/>
      <c r="G28" s="315"/>
      <c r="H28" s="315"/>
      <c r="I28" s="367"/>
      <c r="J28" s="367"/>
      <c r="K28" s="315"/>
      <c r="L28" s="315"/>
      <c r="M28" s="315"/>
      <c r="N28" s="315"/>
      <c r="O28" s="316"/>
    </row>
    <row r="29" spans="1:15" s="173" customFormat="1" ht="14.45" customHeight="1" x14ac:dyDescent="0.2">
      <c r="A29" s="174"/>
      <c r="B29" s="190">
        <v>15</v>
      </c>
      <c r="C29" s="367"/>
      <c r="D29" s="148"/>
      <c r="E29" s="148"/>
      <c r="F29" s="148"/>
      <c r="G29" s="315"/>
      <c r="H29" s="315"/>
      <c r="I29" s="367"/>
      <c r="J29" s="367"/>
      <c r="K29" s="315"/>
      <c r="L29" s="315"/>
      <c r="M29" s="315"/>
      <c r="N29" s="315"/>
      <c r="O29" s="316"/>
    </row>
    <row r="30" spans="1:15" s="173" customFormat="1" ht="14.45" customHeight="1" x14ac:dyDescent="0.2">
      <c r="A30" s="174"/>
      <c r="B30" s="190">
        <v>16</v>
      </c>
      <c r="C30" s="367"/>
      <c r="D30" s="148"/>
      <c r="E30" s="148"/>
      <c r="F30" s="148"/>
      <c r="G30" s="315"/>
      <c r="H30" s="315"/>
      <c r="I30" s="367"/>
      <c r="J30" s="367"/>
      <c r="K30" s="315"/>
      <c r="L30" s="315"/>
      <c r="M30" s="315"/>
      <c r="N30" s="315"/>
      <c r="O30" s="316"/>
    </row>
    <row r="31" spans="1:15" s="173" customFormat="1" ht="14.45" customHeight="1" x14ac:dyDescent="0.2">
      <c r="A31" s="174"/>
      <c r="B31" s="190">
        <v>17</v>
      </c>
      <c r="C31" s="367"/>
      <c r="D31" s="148"/>
      <c r="E31" s="148"/>
      <c r="F31" s="148"/>
      <c r="G31" s="315"/>
      <c r="H31" s="315"/>
      <c r="I31" s="367"/>
      <c r="J31" s="367"/>
      <c r="K31" s="315"/>
      <c r="L31" s="315"/>
      <c r="M31" s="315"/>
      <c r="N31" s="315"/>
      <c r="O31" s="316"/>
    </row>
    <row r="32" spans="1:15" s="173" customFormat="1" ht="14.45" customHeight="1" x14ac:dyDescent="0.2">
      <c r="A32" s="174"/>
      <c r="B32" s="190">
        <v>18</v>
      </c>
      <c r="C32" s="367"/>
      <c r="D32" s="148"/>
      <c r="E32" s="148"/>
      <c r="F32" s="148"/>
      <c r="G32" s="315"/>
      <c r="H32" s="315"/>
      <c r="I32" s="367"/>
      <c r="J32" s="367"/>
      <c r="K32" s="315"/>
      <c r="L32" s="315"/>
      <c r="M32" s="315"/>
      <c r="N32" s="315"/>
      <c r="O32" s="316"/>
    </row>
    <row r="33" spans="1:15" s="173" customFormat="1" ht="14.45" customHeight="1" x14ac:dyDescent="0.2">
      <c r="A33" s="174"/>
      <c r="B33" s="190">
        <v>19</v>
      </c>
      <c r="C33" s="367"/>
      <c r="D33" s="148"/>
      <c r="E33" s="148"/>
      <c r="F33" s="148"/>
      <c r="G33" s="315"/>
      <c r="H33" s="315"/>
      <c r="I33" s="367"/>
      <c r="J33" s="367"/>
      <c r="K33" s="315"/>
      <c r="L33" s="315"/>
      <c r="M33" s="315"/>
      <c r="N33" s="315"/>
      <c r="O33" s="316"/>
    </row>
    <row r="34" spans="1:15" s="173" customFormat="1" ht="14.45" customHeight="1" thickBot="1" x14ac:dyDescent="0.25">
      <c r="A34" s="174"/>
      <c r="B34" s="191">
        <v>20</v>
      </c>
      <c r="C34" s="368"/>
      <c r="D34" s="149"/>
      <c r="E34" s="149"/>
      <c r="F34" s="149"/>
      <c r="G34" s="318"/>
      <c r="H34" s="318"/>
      <c r="I34" s="368"/>
      <c r="J34" s="368"/>
      <c r="K34" s="318"/>
      <c r="L34" s="318"/>
      <c r="M34" s="318"/>
      <c r="N34" s="318"/>
      <c r="O34" s="319"/>
    </row>
    <row r="35" spans="1:15" s="173" customFormat="1" ht="14.45" customHeight="1" thickBot="1" x14ac:dyDescent="0.25">
      <c r="A35" s="174"/>
      <c r="B35" s="174"/>
      <c r="C35" s="174"/>
      <c r="D35" s="174"/>
      <c r="E35" s="174"/>
      <c r="F35" s="174"/>
      <c r="G35" s="174"/>
      <c r="H35" s="174"/>
      <c r="I35" s="174"/>
      <c r="J35" s="174"/>
      <c r="K35" s="174"/>
      <c r="L35" s="174"/>
      <c r="M35" s="174"/>
    </row>
    <row r="36" spans="1:15" s="173" customFormat="1" ht="14.45" customHeight="1" x14ac:dyDescent="0.2">
      <c r="A36" s="174"/>
      <c r="B36" s="90" t="s">
        <v>196</v>
      </c>
      <c r="C36" s="91"/>
      <c r="D36" s="91" t="s">
        <v>197</v>
      </c>
      <c r="E36" s="91"/>
      <c r="F36" s="91"/>
      <c r="G36" s="91"/>
      <c r="H36" s="91"/>
      <c r="I36" s="91"/>
      <c r="J36" s="91"/>
      <c r="K36" s="91"/>
      <c r="L36" s="91"/>
      <c r="M36" s="91"/>
      <c r="N36" s="44"/>
      <c r="O36" s="44"/>
    </row>
    <row r="37" spans="1:15" s="173" customFormat="1" ht="14.45" customHeight="1" thickBot="1" x14ac:dyDescent="0.25">
      <c r="A37" s="174"/>
      <c r="B37" s="92"/>
      <c r="C37" s="93"/>
      <c r="D37" s="93" t="s">
        <v>198</v>
      </c>
      <c r="E37" s="93"/>
      <c r="F37" s="93"/>
      <c r="G37" s="93"/>
      <c r="H37" s="93"/>
      <c r="I37" s="93"/>
      <c r="J37" s="93"/>
      <c r="K37" s="93"/>
      <c r="L37" s="93"/>
      <c r="M37" s="93"/>
      <c r="N37" s="84"/>
      <c r="O37" s="84"/>
    </row>
    <row r="38" spans="1:15" s="173" customFormat="1" ht="14.45" customHeight="1" x14ac:dyDescent="0.2">
      <c r="A38" s="174"/>
      <c r="B38" s="174"/>
      <c r="C38" s="174"/>
      <c r="D38" s="174"/>
      <c r="E38" s="174"/>
      <c r="F38" s="174"/>
      <c r="G38" s="174"/>
      <c r="H38" s="174"/>
      <c r="I38" s="174"/>
      <c r="J38" s="174"/>
      <c r="K38" s="174"/>
      <c r="L38" s="174"/>
      <c r="M38" s="174"/>
    </row>
    <row r="39" spans="1:15" s="173" customFormat="1" ht="14.45" customHeight="1" x14ac:dyDescent="0.2">
      <c r="A39" s="174"/>
      <c r="B39" s="285" t="s">
        <v>18</v>
      </c>
      <c r="F39" s="174"/>
      <c r="G39" s="174"/>
      <c r="H39" s="174"/>
      <c r="I39" s="174"/>
      <c r="J39" s="174"/>
      <c r="K39" s="174"/>
      <c r="L39" s="174"/>
      <c r="M39" s="174"/>
    </row>
    <row r="40" spans="1:15" s="173" customFormat="1" ht="14.45" customHeight="1" x14ac:dyDescent="0.2">
      <c r="A40" s="174"/>
      <c r="B40" s="403"/>
      <c r="C40" s="403"/>
      <c r="D40" s="403"/>
      <c r="E40" s="403"/>
      <c r="F40" s="174"/>
      <c r="G40" s="174"/>
      <c r="H40" s="174"/>
      <c r="I40" s="174"/>
      <c r="J40" s="174"/>
      <c r="K40" s="174"/>
      <c r="L40" s="174"/>
      <c r="M40" s="174"/>
    </row>
    <row r="41" spans="1:15" s="173" customFormat="1" x14ac:dyDescent="0.2">
      <c r="A41" s="174"/>
      <c r="B41" s="403"/>
      <c r="C41" s="403"/>
      <c r="D41" s="403"/>
      <c r="E41" s="403"/>
      <c r="F41" s="174"/>
      <c r="G41" s="174"/>
      <c r="H41" s="174"/>
      <c r="I41" s="174"/>
      <c r="J41" s="174"/>
      <c r="K41" s="174"/>
      <c r="L41" s="174"/>
      <c r="M41" s="174"/>
      <c r="N41" s="174"/>
      <c r="O41" s="174"/>
    </row>
    <row r="42" spans="1:15" s="173" customFormat="1" ht="14.45" customHeight="1" x14ac:dyDescent="0.2">
      <c r="A42" s="174"/>
      <c r="B42" s="403"/>
      <c r="C42" s="403"/>
      <c r="D42" s="403"/>
      <c r="E42" s="403"/>
      <c r="F42" s="174"/>
      <c r="G42" s="174"/>
      <c r="H42" s="174"/>
      <c r="I42" s="174"/>
      <c r="J42" s="174"/>
      <c r="K42" s="174"/>
      <c r="L42" s="174"/>
      <c r="M42" s="174"/>
      <c r="N42" s="174"/>
      <c r="O42" s="174"/>
    </row>
    <row r="43" spans="1:15" s="173" customFormat="1" ht="14.45" customHeight="1" x14ac:dyDescent="0.2">
      <c r="A43" s="174"/>
      <c r="B43" s="174"/>
      <c r="C43" s="174"/>
      <c r="D43" s="174"/>
      <c r="E43" s="174"/>
      <c r="F43" s="174"/>
      <c r="G43" s="174"/>
      <c r="H43" s="174"/>
      <c r="I43" s="174"/>
      <c r="J43" s="174"/>
      <c r="K43" s="174"/>
      <c r="L43" s="174"/>
      <c r="M43" s="174"/>
      <c r="N43" s="174"/>
      <c r="O43" s="174"/>
    </row>
    <row r="44" spans="1:15" s="173" customFormat="1" ht="14.45" customHeight="1" x14ac:dyDescent="0.2">
      <c r="A44" s="174"/>
      <c r="B44" s="174"/>
      <c r="C44" s="174"/>
      <c r="D44" s="174"/>
      <c r="E44" s="174"/>
      <c r="F44" s="174"/>
      <c r="G44" s="174"/>
      <c r="H44" s="174"/>
      <c r="I44" s="174"/>
      <c r="J44" s="174"/>
      <c r="K44" s="174"/>
      <c r="L44" s="174"/>
      <c r="M44" s="174"/>
      <c r="N44" s="174"/>
      <c r="O44" s="174"/>
    </row>
    <row r="45" spans="1:15" ht="13.15" customHeight="1" x14ac:dyDescent="0.2"/>
    <row r="46" spans="1:15" ht="13.15" customHeight="1" x14ac:dyDescent="0.2"/>
  </sheetData>
  <mergeCells count="10">
    <mergeCell ref="B40:E42"/>
    <mergeCell ref="D12:E12"/>
    <mergeCell ref="D9:E9"/>
    <mergeCell ref="D8:E8"/>
    <mergeCell ref="B2:O2"/>
    <mergeCell ref="B4:O4"/>
    <mergeCell ref="B5:O5"/>
    <mergeCell ref="D7:E7"/>
    <mergeCell ref="D10:E10"/>
    <mergeCell ref="D11:E11"/>
  </mergeCells>
  <dataValidations count="1">
    <dataValidation type="list" allowBlank="1" showInputMessage="1" showErrorMessage="1" sqref="D12:E12" xr:uid="{AE801D91-CC2E-4A9D-87BC-71539D7B3164}">
      <formula1>INDIRECT(D11)</formula1>
    </dataValidation>
  </dataValidations>
  <hyperlinks>
    <hyperlink ref="P2" location="'Data Requirements'!A1" display="BACK" xr:uid="{F9181054-7BDE-4E9A-B7CF-F4851D56B521}"/>
  </hyperlink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D41469-0531-4EE1-A7D6-CD37C2C0D773}">
  <sheetPr codeName="Sheet14">
    <tabColor rgb="FF26B8AD"/>
  </sheetPr>
  <dimension ref="B1:Q96"/>
  <sheetViews>
    <sheetView zoomScaleNormal="100" workbookViewId="0"/>
  </sheetViews>
  <sheetFormatPr defaultColWidth="11.42578125" defaultRowHeight="12.75" x14ac:dyDescent="0.2"/>
  <cols>
    <col min="1" max="1" width="2.7109375" style="174" customWidth="1"/>
    <col min="2" max="2" width="59" style="174" customWidth="1"/>
    <col min="3" max="3" width="14.42578125" style="174" customWidth="1"/>
    <col min="4" max="13" width="11.5703125" style="174" customWidth="1"/>
    <col min="14" max="14" width="7.7109375" style="174" customWidth="1"/>
    <col min="15" max="257" width="11.42578125" style="174"/>
    <col min="258" max="258" width="6.7109375" style="174" customWidth="1"/>
    <col min="259" max="259" width="13.7109375" style="174" customWidth="1"/>
    <col min="260" max="260" width="1.5703125" style="174" customWidth="1"/>
    <col min="261" max="268" width="13.7109375" style="174" customWidth="1"/>
    <col min="269" max="513" width="11.42578125" style="174"/>
    <col min="514" max="514" width="6.7109375" style="174" customWidth="1"/>
    <col min="515" max="515" width="13.7109375" style="174" customWidth="1"/>
    <col min="516" max="516" width="1.5703125" style="174" customWidth="1"/>
    <col min="517" max="524" width="13.7109375" style="174" customWidth="1"/>
    <col min="525" max="769" width="11.42578125" style="174"/>
    <col min="770" max="770" width="6.7109375" style="174" customWidth="1"/>
    <col min="771" max="771" width="13.7109375" style="174" customWidth="1"/>
    <col min="772" max="772" width="1.5703125" style="174" customWidth="1"/>
    <col min="773" max="780" width="13.7109375" style="174" customWidth="1"/>
    <col min="781" max="1025" width="11.42578125" style="174"/>
    <col min="1026" max="1026" width="6.7109375" style="174" customWidth="1"/>
    <col min="1027" max="1027" width="13.7109375" style="174" customWidth="1"/>
    <col min="1028" max="1028" width="1.5703125" style="174" customWidth="1"/>
    <col min="1029" max="1036" width="13.7109375" style="174" customWidth="1"/>
    <col min="1037" max="1281" width="11.42578125" style="174"/>
    <col min="1282" max="1282" width="6.7109375" style="174" customWidth="1"/>
    <col min="1283" max="1283" width="13.7109375" style="174" customWidth="1"/>
    <col min="1284" max="1284" width="1.5703125" style="174" customWidth="1"/>
    <col min="1285" max="1292" width="13.7109375" style="174" customWidth="1"/>
    <col min="1293" max="1537" width="11.42578125" style="174"/>
    <col min="1538" max="1538" width="6.7109375" style="174" customWidth="1"/>
    <col min="1539" max="1539" width="13.7109375" style="174" customWidth="1"/>
    <col min="1540" max="1540" width="1.5703125" style="174" customWidth="1"/>
    <col min="1541" max="1548" width="13.7109375" style="174" customWidth="1"/>
    <col min="1549" max="1793" width="11.42578125" style="174"/>
    <col min="1794" max="1794" width="6.7109375" style="174" customWidth="1"/>
    <col min="1795" max="1795" width="13.7109375" style="174" customWidth="1"/>
    <col min="1796" max="1796" width="1.5703125" style="174" customWidth="1"/>
    <col min="1797" max="1804" width="13.7109375" style="174" customWidth="1"/>
    <col min="1805" max="2049" width="11.42578125" style="174"/>
    <col min="2050" max="2050" width="6.7109375" style="174" customWidth="1"/>
    <col min="2051" max="2051" width="13.7109375" style="174" customWidth="1"/>
    <col min="2052" max="2052" width="1.5703125" style="174" customWidth="1"/>
    <col min="2053" max="2060" width="13.7109375" style="174" customWidth="1"/>
    <col min="2061" max="2305" width="11.42578125" style="174"/>
    <col min="2306" max="2306" width="6.7109375" style="174" customWidth="1"/>
    <col min="2307" max="2307" width="13.7109375" style="174" customWidth="1"/>
    <col min="2308" max="2308" width="1.5703125" style="174" customWidth="1"/>
    <col min="2309" max="2316" width="13.7109375" style="174" customWidth="1"/>
    <col min="2317" max="2561" width="11.42578125" style="174"/>
    <col min="2562" max="2562" width="6.7109375" style="174" customWidth="1"/>
    <col min="2563" max="2563" width="13.7109375" style="174" customWidth="1"/>
    <col min="2564" max="2564" width="1.5703125" style="174" customWidth="1"/>
    <col min="2565" max="2572" width="13.7109375" style="174" customWidth="1"/>
    <col min="2573" max="2817" width="11.42578125" style="174"/>
    <col min="2818" max="2818" width="6.7109375" style="174" customWidth="1"/>
    <col min="2819" max="2819" width="13.7109375" style="174" customWidth="1"/>
    <col min="2820" max="2820" width="1.5703125" style="174" customWidth="1"/>
    <col min="2821" max="2828" width="13.7109375" style="174" customWidth="1"/>
    <col min="2829" max="3073" width="11.42578125" style="174"/>
    <col min="3074" max="3074" width="6.7109375" style="174" customWidth="1"/>
    <col min="3075" max="3075" width="13.7109375" style="174" customWidth="1"/>
    <col min="3076" max="3076" width="1.5703125" style="174" customWidth="1"/>
    <col min="3077" max="3084" width="13.7109375" style="174" customWidth="1"/>
    <col min="3085" max="3329" width="11.42578125" style="174"/>
    <col min="3330" max="3330" width="6.7109375" style="174" customWidth="1"/>
    <col min="3331" max="3331" width="13.7109375" style="174" customWidth="1"/>
    <col min="3332" max="3332" width="1.5703125" style="174" customWidth="1"/>
    <col min="3333" max="3340" width="13.7109375" style="174" customWidth="1"/>
    <col min="3341" max="3585" width="11.42578125" style="174"/>
    <col min="3586" max="3586" width="6.7109375" style="174" customWidth="1"/>
    <col min="3587" max="3587" width="13.7109375" style="174" customWidth="1"/>
    <col min="3588" max="3588" width="1.5703125" style="174" customWidth="1"/>
    <col min="3589" max="3596" width="13.7109375" style="174" customWidth="1"/>
    <col min="3597" max="3841" width="11.42578125" style="174"/>
    <col min="3842" max="3842" width="6.7109375" style="174" customWidth="1"/>
    <col min="3843" max="3843" width="13.7109375" style="174" customWidth="1"/>
    <col min="3844" max="3844" width="1.5703125" style="174" customWidth="1"/>
    <col min="3845" max="3852" width="13.7109375" style="174" customWidth="1"/>
    <col min="3853" max="4097" width="11.42578125" style="174"/>
    <col min="4098" max="4098" width="6.7109375" style="174" customWidth="1"/>
    <col min="4099" max="4099" width="13.7109375" style="174" customWidth="1"/>
    <col min="4100" max="4100" width="1.5703125" style="174" customWidth="1"/>
    <col min="4101" max="4108" width="13.7109375" style="174" customWidth="1"/>
    <col min="4109" max="4353" width="11.42578125" style="174"/>
    <col min="4354" max="4354" width="6.7109375" style="174" customWidth="1"/>
    <col min="4355" max="4355" width="13.7109375" style="174" customWidth="1"/>
    <col min="4356" max="4356" width="1.5703125" style="174" customWidth="1"/>
    <col min="4357" max="4364" width="13.7109375" style="174" customWidth="1"/>
    <col min="4365" max="4609" width="11.42578125" style="174"/>
    <col min="4610" max="4610" width="6.7109375" style="174" customWidth="1"/>
    <col min="4611" max="4611" width="13.7109375" style="174" customWidth="1"/>
    <col min="4612" max="4612" width="1.5703125" style="174" customWidth="1"/>
    <col min="4613" max="4620" width="13.7109375" style="174" customWidth="1"/>
    <col min="4621" max="4865" width="11.42578125" style="174"/>
    <col min="4866" max="4866" width="6.7109375" style="174" customWidth="1"/>
    <col min="4867" max="4867" width="13.7109375" style="174" customWidth="1"/>
    <col min="4868" max="4868" width="1.5703125" style="174" customWidth="1"/>
    <col min="4869" max="4876" width="13.7109375" style="174" customWidth="1"/>
    <col min="4877" max="5121" width="11.42578125" style="174"/>
    <col min="5122" max="5122" width="6.7109375" style="174" customWidth="1"/>
    <col min="5123" max="5123" width="13.7109375" style="174" customWidth="1"/>
    <col min="5124" max="5124" width="1.5703125" style="174" customWidth="1"/>
    <col min="5125" max="5132" width="13.7109375" style="174" customWidth="1"/>
    <col min="5133" max="5377" width="11.42578125" style="174"/>
    <col min="5378" max="5378" width="6.7109375" style="174" customWidth="1"/>
    <col min="5379" max="5379" width="13.7109375" style="174" customWidth="1"/>
    <col min="5380" max="5380" width="1.5703125" style="174" customWidth="1"/>
    <col min="5381" max="5388" width="13.7109375" style="174" customWidth="1"/>
    <col min="5389" max="5633" width="11.42578125" style="174"/>
    <col min="5634" max="5634" width="6.7109375" style="174" customWidth="1"/>
    <col min="5635" max="5635" width="13.7109375" style="174" customWidth="1"/>
    <col min="5636" max="5636" width="1.5703125" style="174" customWidth="1"/>
    <col min="5637" max="5644" width="13.7109375" style="174" customWidth="1"/>
    <col min="5645" max="5889" width="11.42578125" style="174"/>
    <col min="5890" max="5890" width="6.7109375" style="174" customWidth="1"/>
    <col min="5891" max="5891" width="13.7109375" style="174" customWidth="1"/>
    <col min="5892" max="5892" width="1.5703125" style="174" customWidth="1"/>
    <col min="5893" max="5900" width="13.7109375" style="174" customWidth="1"/>
    <col min="5901" max="6145" width="11.42578125" style="174"/>
    <col min="6146" max="6146" width="6.7109375" style="174" customWidth="1"/>
    <col min="6147" max="6147" width="13.7109375" style="174" customWidth="1"/>
    <col min="6148" max="6148" width="1.5703125" style="174" customWidth="1"/>
    <col min="6149" max="6156" width="13.7109375" style="174" customWidth="1"/>
    <col min="6157" max="6401" width="11.42578125" style="174"/>
    <col min="6402" max="6402" width="6.7109375" style="174" customWidth="1"/>
    <col min="6403" max="6403" width="13.7109375" style="174" customWidth="1"/>
    <col min="6404" max="6404" width="1.5703125" style="174" customWidth="1"/>
    <col min="6405" max="6412" width="13.7109375" style="174" customWidth="1"/>
    <col min="6413" max="6657" width="11.42578125" style="174"/>
    <col min="6658" max="6658" width="6.7109375" style="174" customWidth="1"/>
    <col min="6659" max="6659" width="13.7109375" style="174" customWidth="1"/>
    <col min="6660" max="6660" width="1.5703125" style="174" customWidth="1"/>
    <col min="6661" max="6668" width="13.7109375" style="174" customWidth="1"/>
    <col min="6669" max="6913" width="11.42578125" style="174"/>
    <col min="6914" max="6914" width="6.7109375" style="174" customWidth="1"/>
    <col min="6915" max="6915" width="13.7109375" style="174" customWidth="1"/>
    <col min="6916" max="6916" width="1.5703125" style="174" customWidth="1"/>
    <col min="6917" max="6924" width="13.7109375" style="174" customWidth="1"/>
    <col min="6925" max="7169" width="11.42578125" style="174"/>
    <col min="7170" max="7170" width="6.7109375" style="174" customWidth="1"/>
    <col min="7171" max="7171" width="13.7109375" style="174" customWidth="1"/>
    <col min="7172" max="7172" width="1.5703125" style="174" customWidth="1"/>
    <col min="7173" max="7180" width="13.7109375" style="174" customWidth="1"/>
    <col min="7181" max="7425" width="11.42578125" style="174"/>
    <col min="7426" max="7426" width="6.7109375" style="174" customWidth="1"/>
    <col min="7427" max="7427" width="13.7109375" style="174" customWidth="1"/>
    <col min="7428" max="7428" width="1.5703125" style="174" customWidth="1"/>
    <col min="7429" max="7436" width="13.7109375" style="174" customWidth="1"/>
    <col min="7437" max="7681" width="11.42578125" style="174"/>
    <col min="7682" max="7682" width="6.7109375" style="174" customWidth="1"/>
    <col min="7683" max="7683" width="13.7109375" style="174" customWidth="1"/>
    <col min="7684" max="7684" width="1.5703125" style="174" customWidth="1"/>
    <col min="7685" max="7692" width="13.7109375" style="174" customWidth="1"/>
    <col min="7693" max="7937" width="11.42578125" style="174"/>
    <col min="7938" max="7938" width="6.7109375" style="174" customWidth="1"/>
    <col min="7939" max="7939" width="13.7109375" style="174" customWidth="1"/>
    <col min="7940" max="7940" width="1.5703125" style="174" customWidth="1"/>
    <col min="7941" max="7948" width="13.7109375" style="174" customWidth="1"/>
    <col min="7949" max="8193" width="11.42578125" style="174"/>
    <col min="8194" max="8194" width="6.7109375" style="174" customWidth="1"/>
    <col min="8195" max="8195" width="13.7109375" style="174" customWidth="1"/>
    <col min="8196" max="8196" width="1.5703125" style="174" customWidth="1"/>
    <col min="8197" max="8204" width="13.7109375" style="174" customWidth="1"/>
    <col min="8205" max="8449" width="11.42578125" style="174"/>
    <col min="8450" max="8450" width="6.7109375" style="174" customWidth="1"/>
    <col min="8451" max="8451" width="13.7109375" style="174" customWidth="1"/>
    <col min="8452" max="8452" width="1.5703125" style="174" customWidth="1"/>
    <col min="8453" max="8460" width="13.7109375" style="174" customWidth="1"/>
    <col min="8461" max="8705" width="11.42578125" style="174"/>
    <col min="8706" max="8706" width="6.7109375" style="174" customWidth="1"/>
    <col min="8707" max="8707" width="13.7109375" style="174" customWidth="1"/>
    <col min="8708" max="8708" width="1.5703125" style="174" customWidth="1"/>
    <col min="8709" max="8716" width="13.7109375" style="174" customWidth="1"/>
    <col min="8717" max="8961" width="11.42578125" style="174"/>
    <col min="8962" max="8962" width="6.7109375" style="174" customWidth="1"/>
    <col min="8963" max="8963" width="13.7109375" style="174" customWidth="1"/>
    <col min="8964" max="8964" width="1.5703125" style="174" customWidth="1"/>
    <col min="8965" max="8972" width="13.7109375" style="174" customWidth="1"/>
    <col min="8973" max="9217" width="11.42578125" style="174"/>
    <col min="9218" max="9218" width="6.7109375" style="174" customWidth="1"/>
    <col min="9219" max="9219" width="13.7109375" style="174" customWidth="1"/>
    <col min="9220" max="9220" width="1.5703125" style="174" customWidth="1"/>
    <col min="9221" max="9228" width="13.7109375" style="174" customWidth="1"/>
    <col min="9229" max="9473" width="11.42578125" style="174"/>
    <col min="9474" max="9474" width="6.7109375" style="174" customWidth="1"/>
    <col min="9475" max="9475" width="13.7109375" style="174" customWidth="1"/>
    <col min="9476" max="9476" width="1.5703125" style="174" customWidth="1"/>
    <col min="9477" max="9484" width="13.7109375" style="174" customWidth="1"/>
    <col min="9485" max="9729" width="11.42578125" style="174"/>
    <col min="9730" max="9730" width="6.7109375" style="174" customWidth="1"/>
    <col min="9731" max="9731" width="13.7109375" style="174" customWidth="1"/>
    <col min="9732" max="9732" width="1.5703125" style="174" customWidth="1"/>
    <col min="9733" max="9740" width="13.7109375" style="174" customWidth="1"/>
    <col min="9741" max="9985" width="11.42578125" style="174"/>
    <col min="9986" max="9986" width="6.7109375" style="174" customWidth="1"/>
    <col min="9987" max="9987" width="13.7109375" style="174" customWidth="1"/>
    <col min="9988" max="9988" width="1.5703125" style="174" customWidth="1"/>
    <col min="9989" max="9996" width="13.7109375" style="174" customWidth="1"/>
    <col min="9997" max="10241" width="11.42578125" style="174"/>
    <col min="10242" max="10242" width="6.7109375" style="174" customWidth="1"/>
    <col min="10243" max="10243" width="13.7109375" style="174" customWidth="1"/>
    <col min="10244" max="10244" width="1.5703125" style="174" customWidth="1"/>
    <col min="10245" max="10252" width="13.7109375" style="174" customWidth="1"/>
    <col min="10253" max="10497" width="11.42578125" style="174"/>
    <col min="10498" max="10498" width="6.7109375" style="174" customWidth="1"/>
    <col min="10499" max="10499" width="13.7109375" style="174" customWidth="1"/>
    <col min="10500" max="10500" width="1.5703125" style="174" customWidth="1"/>
    <col min="10501" max="10508" width="13.7109375" style="174" customWidth="1"/>
    <col min="10509" max="10753" width="11.42578125" style="174"/>
    <col min="10754" max="10754" width="6.7109375" style="174" customWidth="1"/>
    <col min="10755" max="10755" width="13.7109375" style="174" customWidth="1"/>
    <col min="10756" max="10756" width="1.5703125" style="174" customWidth="1"/>
    <col min="10757" max="10764" width="13.7109375" style="174" customWidth="1"/>
    <col min="10765" max="11009" width="11.42578125" style="174"/>
    <col min="11010" max="11010" width="6.7109375" style="174" customWidth="1"/>
    <col min="11011" max="11011" width="13.7109375" style="174" customWidth="1"/>
    <col min="11012" max="11012" width="1.5703125" style="174" customWidth="1"/>
    <col min="11013" max="11020" width="13.7109375" style="174" customWidth="1"/>
    <col min="11021" max="11265" width="11.42578125" style="174"/>
    <col min="11266" max="11266" width="6.7109375" style="174" customWidth="1"/>
    <col min="11267" max="11267" width="13.7109375" style="174" customWidth="1"/>
    <col min="11268" max="11268" width="1.5703125" style="174" customWidth="1"/>
    <col min="11269" max="11276" width="13.7109375" style="174" customWidth="1"/>
    <col min="11277" max="11521" width="11.42578125" style="174"/>
    <col min="11522" max="11522" width="6.7109375" style="174" customWidth="1"/>
    <col min="11523" max="11523" width="13.7109375" style="174" customWidth="1"/>
    <col min="11524" max="11524" width="1.5703125" style="174" customWidth="1"/>
    <col min="11525" max="11532" width="13.7109375" style="174" customWidth="1"/>
    <col min="11533" max="11777" width="11.42578125" style="174"/>
    <col min="11778" max="11778" width="6.7109375" style="174" customWidth="1"/>
    <col min="11779" max="11779" width="13.7109375" style="174" customWidth="1"/>
    <col min="11780" max="11780" width="1.5703125" style="174" customWidth="1"/>
    <col min="11781" max="11788" width="13.7109375" style="174" customWidth="1"/>
    <col min="11789" max="12033" width="11.42578125" style="174"/>
    <col min="12034" max="12034" width="6.7109375" style="174" customWidth="1"/>
    <col min="12035" max="12035" width="13.7109375" style="174" customWidth="1"/>
    <col min="12036" max="12036" width="1.5703125" style="174" customWidth="1"/>
    <col min="12037" max="12044" width="13.7109375" style="174" customWidth="1"/>
    <col min="12045" max="12289" width="11.42578125" style="174"/>
    <col min="12290" max="12290" width="6.7109375" style="174" customWidth="1"/>
    <col min="12291" max="12291" width="13.7109375" style="174" customWidth="1"/>
    <col min="12292" max="12292" width="1.5703125" style="174" customWidth="1"/>
    <col min="12293" max="12300" width="13.7109375" style="174" customWidth="1"/>
    <col min="12301" max="12545" width="11.42578125" style="174"/>
    <col min="12546" max="12546" width="6.7109375" style="174" customWidth="1"/>
    <col min="12547" max="12547" width="13.7109375" style="174" customWidth="1"/>
    <col min="12548" max="12548" width="1.5703125" style="174" customWidth="1"/>
    <col min="12549" max="12556" width="13.7109375" style="174" customWidth="1"/>
    <col min="12557" max="12801" width="11.42578125" style="174"/>
    <col min="12802" max="12802" width="6.7109375" style="174" customWidth="1"/>
    <col min="12803" max="12803" width="13.7109375" style="174" customWidth="1"/>
    <col min="12804" max="12804" width="1.5703125" style="174" customWidth="1"/>
    <col min="12805" max="12812" width="13.7109375" style="174" customWidth="1"/>
    <col min="12813" max="13057" width="11.42578125" style="174"/>
    <col min="13058" max="13058" width="6.7109375" style="174" customWidth="1"/>
    <col min="13059" max="13059" width="13.7109375" style="174" customWidth="1"/>
    <col min="13060" max="13060" width="1.5703125" style="174" customWidth="1"/>
    <col min="13061" max="13068" width="13.7109375" style="174" customWidth="1"/>
    <col min="13069" max="13313" width="11.42578125" style="174"/>
    <col min="13314" max="13314" width="6.7109375" style="174" customWidth="1"/>
    <col min="13315" max="13315" width="13.7109375" style="174" customWidth="1"/>
    <col min="13316" max="13316" width="1.5703125" style="174" customWidth="1"/>
    <col min="13317" max="13324" width="13.7109375" style="174" customWidth="1"/>
    <col min="13325" max="13569" width="11.42578125" style="174"/>
    <col min="13570" max="13570" width="6.7109375" style="174" customWidth="1"/>
    <col min="13571" max="13571" width="13.7109375" style="174" customWidth="1"/>
    <col min="13572" max="13572" width="1.5703125" style="174" customWidth="1"/>
    <col min="13573" max="13580" width="13.7109375" style="174" customWidth="1"/>
    <col min="13581" max="13825" width="11.42578125" style="174"/>
    <col min="13826" max="13826" width="6.7109375" style="174" customWidth="1"/>
    <col min="13827" max="13827" width="13.7109375" style="174" customWidth="1"/>
    <col min="13828" max="13828" width="1.5703125" style="174" customWidth="1"/>
    <col min="13829" max="13836" width="13.7109375" style="174" customWidth="1"/>
    <col min="13837" max="14081" width="11.42578125" style="174"/>
    <col min="14082" max="14082" width="6.7109375" style="174" customWidth="1"/>
    <col min="14083" max="14083" width="13.7109375" style="174" customWidth="1"/>
    <col min="14084" max="14084" width="1.5703125" style="174" customWidth="1"/>
    <col min="14085" max="14092" width="13.7109375" style="174" customWidth="1"/>
    <col min="14093" max="14337" width="11.42578125" style="174"/>
    <col min="14338" max="14338" width="6.7109375" style="174" customWidth="1"/>
    <col min="14339" max="14339" width="13.7109375" style="174" customWidth="1"/>
    <col min="14340" max="14340" width="1.5703125" style="174" customWidth="1"/>
    <col min="14341" max="14348" width="13.7109375" style="174" customWidth="1"/>
    <col min="14349" max="14593" width="11.42578125" style="174"/>
    <col min="14594" max="14594" width="6.7109375" style="174" customWidth="1"/>
    <col min="14595" max="14595" width="13.7109375" style="174" customWidth="1"/>
    <col min="14596" max="14596" width="1.5703125" style="174" customWidth="1"/>
    <col min="14597" max="14604" width="13.7109375" style="174" customWidth="1"/>
    <col min="14605" max="14849" width="11.42578125" style="174"/>
    <col min="14850" max="14850" width="6.7109375" style="174" customWidth="1"/>
    <col min="14851" max="14851" width="13.7109375" style="174" customWidth="1"/>
    <col min="14852" max="14852" width="1.5703125" style="174" customWidth="1"/>
    <col min="14853" max="14860" width="13.7109375" style="174" customWidth="1"/>
    <col min="14861" max="15105" width="11.42578125" style="174"/>
    <col min="15106" max="15106" width="6.7109375" style="174" customWidth="1"/>
    <col min="15107" max="15107" width="13.7109375" style="174" customWidth="1"/>
    <col min="15108" max="15108" width="1.5703125" style="174" customWidth="1"/>
    <col min="15109" max="15116" width="13.7109375" style="174" customWidth="1"/>
    <col min="15117" max="15361" width="11.42578125" style="174"/>
    <col min="15362" max="15362" width="6.7109375" style="174" customWidth="1"/>
    <col min="15363" max="15363" width="13.7109375" style="174" customWidth="1"/>
    <col min="15364" max="15364" width="1.5703125" style="174" customWidth="1"/>
    <col min="15365" max="15372" width="13.7109375" style="174" customWidth="1"/>
    <col min="15373" max="15617" width="11.42578125" style="174"/>
    <col min="15618" max="15618" width="6.7109375" style="174" customWidth="1"/>
    <col min="15619" max="15619" width="13.7109375" style="174" customWidth="1"/>
    <col min="15620" max="15620" width="1.5703125" style="174" customWidth="1"/>
    <col min="15621" max="15628" width="13.7109375" style="174" customWidth="1"/>
    <col min="15629" max="15873" width="11.42578125" style="174"/>
    <col min="15874" max="15874" width="6.7109375" style="174" customWidth="1"/>
    <col min="15875" max="15875" width="13.7109375" style="174" customWidth="1"/>
    <col min="15876" max="15876" width="1.5703125" style="174" customWidth="1"/>
    <col min="15877" max="15884" width="13.7109375" style="174" customWidth="1"/>
    <col min="15885" max="16129" width="11.42578125" style="174"/>
    <col min="16130" max="16130" width="6.7109375" style="174" customWidth="1"/>
    <col min="16131" max="16131" width="13.7109375" style="174" customWidth="1"/>
    <col min="16132" max="16132" width="1.5703125" style="174" customWidth="1"/>
    <col min="16133" max="16140" width="13.7109375" style="174" customWidth="1"/>
    <col min="16141" max="16384" width="11.42578125" style="174"/>
  </cols>
  <sheetData>
    <row r="1" spans="2:17" ht="13.5" thickBot="1" x14ac:dyDescent="0.25"/>
    <row r="2" spans="2:17" ht="47.1" customHeight="1" thickBot="1" x14ac:dyDescent="0.25">
      <c r="B2" s="390" t="s">
        <v>266</v>
      </c>
      <c r="C2" s="391"/>
      <c r="D2" s="391"/>
      <c r="E2" s="391"/>
      <c r="F2" s="391"/>
      <c r="G2" s="391"/>
      <c r="H2" s="391"/>
      <c r="I2" s="391"/>
      <c r="J2" s="391"/>
      <c r="K2" s="391"/>
      <c r="L2" s="391"/>
      <c r="M2" s="392"/>
      <c r="N2" s="240" t="s">
        <v>20</v>
      </c>
    </row>
    <row r="3" spans="2:17" ht="14.45" customHeight="1" thickBot="1" x14ac:dyDescent="0.45">
      <c r="C3" s="176"/>
      <c r="D3" s="176"/>
      <c r="E3" s="176"/>
      <c r="F3" s="176"/>
      <c r="G3" s="176"/>
      <c r="H3" s="176"/>
    </row>
    <row r="4" spans="2:17" s="172" customFormat="1" x14ac:dyDescent="0.2">
      <c r="B4" s="462" t="s">
        <v>105</v>
      </c>
      <c r="C4" s="463"/>
      <c r="D4" s="463"/>
      <c r="E4" s="463"/>
      <c r="F4" s="463"/>
      <c r="G4" s="463"/>
      <c r="H4" s="463"/>
      <c r="I4" s="463"/>
      <c r="J4" s="463"/>
      <c r="K4" s="463"/>
      <c r="L4" s="463"/>
      <c r="M4" s="464"/>
      <c r="N4" s="179"/>
    </row>
    <row r="5" spans="2:17" s="172" customFormat="1" ht="30" customHeight="1" thickBot="1" x14ac:dyDescent="0.25">
      <c r="B5" s="465" t="s">
        <v>106</v>
      </c>
      <c r="C5" s="466"/>
      <c r="D5" s="466"/>
      <c r="E5" s="466"/>
      <c r="F5" s="466"/>
      <c r="G5" s="466"/>
      <c r="H5" s="466"/>
      <c r="I5" s="466"/>
      <c r="J5" s="466"/>
      <c r="K5" s="466"/>
      <c r="L5" s="466"/>
      <c r="M5" s="467"/>
      <c r="N5" s="186"/>
    </row>
    <row r="6" spans="2:17" s="173" customFormat="1" ht="14.45" customHeight="1" x14ac:dyDescent="0.2">
      <c r="J6" s="175"/>
      <c r="M6" s="172"/>
      <c r="N6" s="172"/>
      <c r="O6" s="172"/>
      <c r="P6" s="172"/>
      <c r="Q6" s="172"/>
    </row>
    <row r="7" spans="2:17" s="173" customFormat="1" ht="14.45" customHeight="1" x14ac:dyDescent="0.2">
      <c r="B7" s="177" t="s">
        <v>107</v>
      </c>
      <c r="C7" s="404">
        <f>Header!$D$4</f>
        <v>0</v>
      </c>
      <c r="D7" s="405"/>
      <c r="E7" s="179"/>
      <c r="N7" s="172"/>
    </row>
    <row r="8" spans="2:17" s="173" customFormat="1" ht="14.45" customHeight="1" x14ac:dyDescent="0.2">
      <c r="B8" s="177" t="s">
        <v>4</v>
      </c>
      <c r="C8" s="404">
        <f>Header!$D$5</f>
        <v>0</v>
      </c>
      <c r="D8" s="405"/>
      <c r="E8" s="179" t="s">
        <v>108</v>
      </c>
    </row>
    <row r="9" spans="2:17" s="173" customFormat="1" ht="14.45" customHeight="1" x14ac:dyDescent="0.2">
      <c r="B9" s="177" t="s">
        <v>5</v>
      </c>
      <c r="C9" s="404">
        <f>Header!$D$6</f>
        <v>0</v>
      </c>
      <c r="D9" s="405"/>
      <c r="E9" s="179"/>
    </row>
    <row r="10" spans="2:17" s="173" customFormat="1" ht="14.45" customHeight="1" x14ac:dyDescent="0.2">
      <c r="B10" s="177" t="s">
        <v>109</v>
      </c>
      <c r="C10" s="404">
        <f>YEAR(Header!$D$11)</f>
        <v>1900</v>
      </c>
      <c r="D10" s="405"/>
      <c r="E10" s="179"/>
    </row>
    <row r="11" spans="2:17" s="173" customFormat="1" ht="14.45" customHeight="1" x14ac:dyDescent="0.2">
      <c r="B11" s="177" t="s">
        <v>14</v>
      </c>
      <c r="C11" s="404">
        <f>Header!$D$15</f>
        <v>0</v>
      </c>
      <c r="D11" s="405"/>
      <c r="E11" s="179"/>
    </row>
    <row r="12" spans="2:17" s="173" customFormat="1" ht="14.45" customHeight="1" x14ac:dyDescent="0.2">
      <c r="B12" s="177" t="s">
        <v>110</v>
      </c>
      <c r="C12" s="384"/>
      <c r="D12" s="386"/>
      <c r="E12" s="179"/>
    </row>
    <row r="13" spans="2:17" s="173" customFormat="1" ht="14.45" customHeight="1" x14ac:dyDescent="0.2">
      <c r="B13" s="177" t="s">
        <v>153</v>
      </c>
      <c r="C13" s="384"/>
      <c r="D13" s="386"/>
      <c r="E13" s="179" t="s">
        <v>154</v>
      </c>
    </row>
    <row r="14" spans="2:17" s="173" customFormat="1" ht="14.45" customHeight="1" thickBot="1" x14ac:dyDescent="0.25"/>
    <row r="15" spans="2:17" s="173" customFormat="1" ht="14.25" customHeight="1" thickBot="1" x14ac:dyDescent="0.25">
      <c r="D15" s="471" t="s">
        <v>165</v>
      </c>
      <c r="E15" s="469"/>
      <c r="F15" s="469"/>
      <c r="G15" s="469"/>
      <c r="H15" s="469"/>
      <c r="I15" s="468" t="s">
        <v>132</v>
      </c>
      <c r="J15" s="469"/>
      <c r="K15" s="469"/>
      <c r="L15" s="469"/>
      <c r="M15" s="470"/>
    </row>
    <row r="16" spans="2:17" s="173" customFormat="1" ht="14.45" customHeight="1" thickBot="1" x14ac:dyDescent="0.25">
      <c r="B16" s="86" t="s">
        <v>267</v>
      </c>
      <c r="C16" s="373" t="s">
        <v>150</v>
      </c>
      <c r="D16" s="234" t="s">
        <v>241</v>
      </c>
      <c r="E16" s="376" t="s">
        <v>242</v>
      </c>
      <c r="F16" s="231" t="s">
        <v>243</v>
      </c>
      <c r="G16" s="232" t="s">
        <v>244</v>
      </c>
      <c r="H16" s="235" t="s">
        <v>245</v>
      </c>
      <c r="I16" s="234" t="s">
        <v>241</v>
      </c>
      <c r="J16" s="376" t="s">
        <v>242</v>
      </c>
      <c r="K16" s="231" t="s">
        <v>243</v>
      </c>
      <c r="L16" s="232" t="s">
        <v>244</v>
      </c>
      <c r="M16" s="233" t="s">
        <v>245</v>
      </c>
    </row>
    <row r="17" spans="2:13" s="173" customFormat="1" ht="14.45" customHeight="1" x14ac:dyDescent="0.2">
      <c r="B17" s="165"/>
      <c r="C17" s="166"/>
      <c r="D17" s="357"/>
      <c r="E17" s="167"/>
      <c r="F17" s="168"/>
      <c r="G17" s="358"/>
      <c r="H17" s="357"/>
      <c r="I17" s="357"/>
      <c r="J17" s="167"/>
      <c r="K17" s="168"/>
      <c r="L17" s="358"/>
      <c r="M17" s="359"/>
    </row>
    <row r="18" spans="2:13" s="173" customFormat="1" ht="14.45" customHeight="1" x14ac:dyDescent="0.2">
      <c r="B18" s="129"/>
      <c r="C18" s="130"/>
      <c r="D18" s="360"/>
      <c r="E18" s="131"/>
      <c r="F18" s="132"/>
      <c r="G18" s="361"/>
      <c r="H18" s="360"/>
      <c r="I18" s="360"/>
      <c r="J18" s="131"/>
      <c r="K18" s="132"/>
      <c r="L18" s="361"/>
      <c r="M18" s="362"/>
    </row>
    <row r="19" spans="2:13" s="173" customFormat="1" ht="14.45" customHeight="1" x14ac:dyDescent="0.2">
      <c r="B19" s="129"/>
      <c r="C19" s="130"/>
      <c r="D19" s="360"/>
      <c r="E19" s="131"/>
      <c r="F19" s="132"/>
      <c r="G19" s="361"/>
      <c r="H19" s="360"/>
      <c r="I19" s="360"/>
      <c r="J19" s="131"/>
      <c r="K19" s="132"/>
      <c r="L19" s="361"/>
      <c r="M19" s="362"/>
    </row>
    <row r="20" spans="2:13" s="173" customFormat="1" ht="14.45" customHeight="1" x14ac:dyDescent="0.2">
      <c r="B20" s="129"/>
      <c r="C20" s="130"/>
      <c r="D20" s="360"/>
      <c r="E20" s="131"/>
      <c r="F20" s="132"/>
      <c r="G20" s="361"/>
      <c r="H20" s="360"/>
      <c r="I20" s="360"/>
      <c r="J20" s="131"/>
      <c r="K20" s="132"/>
      <c r="L20" s="361"/>
      <c r="M20" s="362"/>
    </row>
    <row r="21" spans="2:13" s="173" customFormat="1" ht="14.45" customHeight="1" x14ac:dyDescent="0.2">
      <c r="B21" s="129"/>
      <c r="C21" s="130"/>
      <c r="D21" s="360"/>
      <c r="E21" s="131"/>
      <c r="F21" s="132"/>
      <c r="G21" s="361"/>
      <c r="H21" s="360"/>
      <c r="I21" s="360"/>
      <c r="J21" s="131"/>
      <c r="K21" s="132"/>
      <c r="L21" s="361"/>
      <c r="M21" s="362"/>
    </row>
    <row r="22" spans="2:13" s="173" customFormat="1" ht="14.45" customHeight="1" x14ac:dyDescent="0.2">
      <c r="B22" s="129"/>
      <c r="C22" s="130"/>
      <c r="D22" s="360"/>
      <c r="E22" s="131"/>
      <c r="F22" s="132"/>
      <c r="G22" s="361"/>
      <c r="H22" s="360"/>
      <c r="I22" s="360"/>
      <c r="J22" s="131"/>
      <c r="K22" s="132"/>
      <c r="L22" s="361"/>
      <c r="M22" s="362"/>
    </row>
    <row r="23" spans="2:13" s="173" customFormat="1" ht="14.45" customHeight="1" x14ac:dyDescent="0.2">
      <c r="B23" s="129"/>
      <c r="C23" s="130"/>
      <c r="D23" s="360"/>
      <c r="E23" s="131"/>
      <c r="F23" s="132"/>
      <c r="G23" s="361"/>
      <c r="H23" s="360"/>
      <c r="I23" s="360"/>
      <c r="J23" s="131"/>
      <c r="K23" s="132"/>
      <c r="L23" s="361"/>
      <c r="M23" s="362"/>
    </row>
    <row r="24" spans="2:13" s="173" customFormat="1" ht="14.45" customHeight="1" x14ac:dyDescent="0.2">
      <c r="B24" s="129"/>
      <c r="C24" s="130"/>
      <c r="D24" s="360"/>
      <c r="E24" s="131"/>
      <c r="F24" s="132"/>
      <c r="G24" s="361"/>
      <c r="H24" s="360"/>
      <c r="I24" s="360"/>
      <c r="J24" s="131"/>
      <c r="K24" s="132"/>
      <c r="L24" s="361"/>
      <c r="M24" s="362"/>
    </row>
    <row r="25" spans="2:13" s="173" customFormat="1" ht="14.45" customHeight="1" x14ac:dyDescent="0.2">
      <c r="B25" s="129"/>
      <c r="C25" s="130"/>
      <c r="D25" s="360"/>
      <c r="E25" s="131"/>
      <c r="F25" s="132"/>
      <c r="G25" s="361"/>
      <c r="H25" s="360"/>
      <c r="I25" s="360"/>
      <c r="J25" s="131"/>
      <c r="K25" s="132"/>
      <c r="L25" s="361"/>
      <c r="M25" s="362"/>
    </row>
    <row r="26" spans="2:13" s="173" customFormat="1" ht="14.45" customHeight="1" x14ac:dyDescent="0.2">
      <c r="B26" s="129"/>
      <c r="C26" s="130"/>
      <c r="D26" s="360"/>
      <c r="E26" s="131"/>
      <c r="F26" s="132"/>
      <c r="G26" s="361"/>
      <c r="H26" s="360"/>
      <c r="I26" s="360"/>
      <c r="J26" s="131"/>
      <c r="K26" s="132"/>
      <c r="L26" s="361"/>
      <c r="M26" s="362"/>
    </row>
    <row r="27" spans="2:13" ht="13.15" customHeight="1" x14ac:dyDescent="0.2">
      <c r="B27" s="129"/>
      <c r="C27" s="133"/>
      <c r="D27" s="360"/>
      <c r="E27" s="131"/>
      <c r="F27" s="132"/>
      <c r="G27" s="361"/>
      <c r="H27" s="360"/>
      <c r="I27" s="360"/>
      <c r="J27" s="131"/>
      <c r="K27" s="132"/>
      <c r="L27" s="361"/>
      <c r="M27" s="362"/>
    </row>
    <row r="28" spans="2:13" ht="13.15" customHeight="1" x14ac:dyDescent="0.2">
      <c r="B28" s="129"/>
      <c r="C28" s="133"/>
      <c r="D28" s="360"/>
      <c r="E28" s="131"/>
      <c r="F28" s="132"/>
      <c r="G28" s="361"/>
      <c r="H28" s="360"/>
      <c r="I28" s="360"/>
      <c r="J28" s="131"/>
      <c r="K28" s="132"/>
      <c r="L28" s="361"/>
      <c r="M28" s="362"/>
    </row>
    <row r="29" spans="2:13" x14ac:dyDescent="0.2">
      <c r="B29" s="129"/>
      <c r="C29" s="133"/>
      <c r="D29" s="360"/>
      <c r="E29" s="131"/>
      <c r="F29" s="132"/>
      <c r="G29" s="361"/>
      <c r="H29" s="360"/>
      <c r="I29" s="360"/>
      <c r="J29" s="131"/>
      <c r="K29" s="132"/>
      <c r="L29" s="361"/>
      <c r="M29" s="362"/>
    </row>
    <row r="30" spans="2:13" x14ac:dyDescent="0.2">
      <c r="B30" s="129"/>
      <c r="C30" s="133"/>
      <c r="D30" s="360"/>
      <c r="E30" s="131"/>
      <c r="F30" s="132"/>
      <c r="G30" s="361"/>
      <c r="H30" s="360"/>
      <c r="I30" s="360"/>
      <c r="J30" s="131"/>
      <c r="K30" s="132"/>
      <c r="L30" s="361"/>
      <c r="M30" s="362"/>
    </row>
    <row r="31" spans="2:13" x14ac:dyDescent="0.2">
      <c r="B31" s="129"/>
      <c r="C31" s="133"/>
      <c r="D31" s="360"/>
      <c r="E31" s="131"/>
      <c r="F31" s="132"/>
      <c r="G31" s="361"/>
      <c r="H31" s="360"/>
      <c r="I31" s="360"/>
      <c r="J31" s="131"/>
      <c r="K31" s="132"/>
      <c r="L31" s="361"/>
      <c r="M31" s="362"/>
    </row>
    <row r="32" spans="2:13" x14ac:dyDescent="0.2">
      <c r="B32" s="129"/>
      <c r="C32" s="133"/>
      <c r="D32" s="360"/>
      <c r="E32" s="131"/>
      <c r="F32" s="132"/>
      <c r="G32" s="361"/>
      <c r="H32" s="360"/>
      <c r="I32" s="360"/>
      <c r="J32" s="131"/>
      <c r="K32" s="132"/>
      <c r="L32" s="361"/>
      <c r="M32" s="362"/>
    </row>
    <row r="33" spans="2:14" ht="12.75" customHeight="1" x14ac:dyDescent="0.2">
      <c r="B33" s="229"/>
      <c r="C33" s="136"/>
      <c r="D33" s="363"/>
      <c r="E33" s="131"/>
      <c r="F33" s="132"/>
      <c r="G33" s="361"/>
      <c r="H33" s="360"/>
      <c r="I33" s="363"/>
      <c r="J33" s="131"/>
      <c r="K33" s="132"/>
      <c r="L33" s="361"/>
      <c r="M33" s="362"/>
    </row>
    <row r="34" spans="2:14" ht="13.5" thickBot="1" x14ac:dyDescent="0.25">
      <c r="B34" s="230" t="s">
        <v>247</v>
      </c>
      <c r="C34" s="138">
        <f t="shared" ref="C34:M34" si="0">SUM(C17:C33)</f>
        <v>0</v>
      </c>
      <c r="D34" s="138">
        <f t="shared" si="0"/>
        <v>0</v>
      </c>
      <c r="E34" s="138">
        <f t="shared" si="0"/>
        <v>0</v>
      </c>
      <c r="F34" s="138">
        <f t="shared" si="0"/>
        <v>0</v>
      </c>
      <c r="G34" s="139">
        <f t="shared" si="0"/>
        <v>0</v>
      </c>
      <c r="H34" s="139">
        <f t="shared" si="0"/>
        <v>0</v>
      </c>
      <c r="I34" s="140">
        <f t="shared" si="0"/>
        <v>0</v>
      </c>
      <c r="J34" s="138">
        <f t="shared" si="0"/>
        <v>0</v>
      </c>
      <c r="K34" s="138">
        <f t="shared" si="0"/>
        <v>0</v>
      </c>
      <c r="L34" s="139">
        <f t="shared" si="0"/>
        <v>0</v>
      </c>
      <c r="M34" s="141">
        <f t="shared" si="0"/>
        <v>0</v>
      </c>
    </row>
    <row r="35" spans="2:14" s="173" customFormat="1" ht="13.5" thickBot="1" x14ac:dyDescent="0.25"/>
    <row r="36" spans="2:14" s="173" customFormat="1" ht="14.45" customHeight="1" x14ac:dyDescent="0.2">
      <c r="B36" s="142" t="s">
        <v>196</v>
      </c>
      <c r="C36" s="143" t="s">
        <v>248</v>
      </c>
      <c r="D36" s="143"/>
      <c r="E36" s="143"/>
      <c r="F36" s="143"/>
      <c r="G36" s="143"/>
      <c r="H36" s="143"/>
      <c r="I36" s="143"/>
      <c r="J36" s="143"/>
      <c r="K36" s="143"/>
      <c r="L36" s="143"/>
      <c r="M36" s="144"/>
      <c r="N36" s="174"/>
    </row>
    <row r="37" spans="2:14" s="173" customFormat="1" ht="14.45" customHeight="1" x14ac:dyDescent="0.2">
      <c r="B37" s="12" t="s">
        <v>249</v>
      </c>
      <c r="C37" s="145" t="s">
        <v>250</v>
      </c>
      <c r="D37" s="145"/>
      <c r="E37" s="145"/>
      <c r="F37" s="145"/>
      <c r="G37" s="145"/>
      <c r="H37" s="145"/>
      <c r="I37" s="145"/>
      <c r="J37" s="145"/>
      <c r="K37" s="145"/>
      <c r="L37" s="145"/>
      <c r="M37" s="146"/>
      <c r="N37" s="174"/>
    </row>
    <row r="38" spans="2:14" s="173" customFormat="1" ht="14.45" customHeight="1" thickBot="1" x14ac:dyDescent="0.25">
      <c r="B38" s="13" t="s">
        <v>249</v>
      </c>
      <c r="C38" s="14" t="s">
        <v>251</v>
      </c>
      <c r="D38" s="14"/>
      <c r="E38" s="14"/>
      <c r="F38" s="14"/>
      <c r="G38" s="14"/>
      <c r="H38" s="14"/>
      <c r="I38" s="14"/>
      <c r="J38" s="14"/>
      <c r="K38" s="14"/>
      <c r="L38" s="14"/>
      <c r="M38" s="15"/>
      <c r="N38" s="174"/>
    </row>
    <row r="39" spans="2:14" ht="13.15" customHeight="1" x14ac:dyDescent="0.2"/>
    <row r="40" spans="2:14" ht="13.15" customHeight="1" x14ac:dyDescent="0.2">
      <c r="B40" s="285" t="s">
        <v>18</v>
      </c>
      <c r="C40" s="173"/>
      <c r="D40" s="173"/>
      <c r="E40" s="173"/>
    </row>
    <row r="41" spans="2:14" x14ac:dyDescent="0.2">
      <c r="B41" s="403"/>
      <c r="C41" s="403"/>
      <c r="D41" s="403"/>
      <c r="E41" s="403"/>
    </row>
    <row r="42" spans="2:14" x14ac:dyDescent="0.2">
      <c r="B42" s="403"/>
      <c r="C42" s="403"/>
      <c r="D42" s="403"/>
      <c r="E42" s="403"/>
    </row>
    <row r="43" spans="2:14" x14ac:dyDescent="0.2">
      <c r="B43" s="403"/>
      <c r="C43" s="403"/>
      <c r="D43" s="403"/>
      <c r="E43" s="403"/>
    </row>
    <row r="65" s="174" customFormat="1" x14ac:dyDescent="0.2"/>
    <row r="66" s="174" customFormat="1" x14ac:dyDescent="0.2"/>
    <row r="67" s="174" customFormat="1" x14ac:dyDescent="0.2"/>
    <row r="68" s="174" customFormat="1" x14ac:dyDescent="0.2"/>
    <row r="69" s="174" customFormat="1" x14ac:dyDescent="0.2"/>
    <row r="70" s="174" customFormat="1" x14ac:dyDescent="0.2"/>
    <row r="71" s="174" customFormat="1" x14ac:dyDescent="0.2"/>
    <row r="72" s="174" customFormat="1" x14ac:dyDescent="0.2"/>
    <row r="73" s="174" customFormat="1" x14ac:dyDescent="0.2"/>
    <row r="74" s="174" customFormat="1" x14ac:dyDescent="0.2"/>
    <row r="75" s="174" customFormat="1" x14ac:dyDescent="0.2"/>
    <row r="76" s="174" customFormat="1" x14ac:dyDescent="0.2"/>
    <row r="77" s="174" customFormat="1" x14ac:dyDescent="0.2"/>
    <row r="78" s="174" customFormat="1" x14ac:dyDescent="0.2"/>
    <row r="79" s="174" customFormat="1" x14ac:dyDescent="0.2"/>
    <row r="80" s="174" customFormat="1" x14ac:dyDescent="0.2"/>
    <row r="81" s="174" customFormat="1" x14ac:dyDescent="0.2"/>
    <row r="82" s="174" customFormat="1" x14ac:dyDescent="0.2"/>
    <row r="83" s="174" customFormat="1" x14ac:dyDescent="0.2"/>
    <row r="84" s="174" customFormat="1" x14ac:dyDescent="0.2"/>
    <row r="85" s="174" customFormat="1" x14ac:dyDescent="0.2"/>
    <row r="86" s="174" customFormat="1" x14ac:dyDescent="0.2"/>
    <row r="87" s="174" customFormat="1" x14ac:dyDescent="0.2"/>
    <row r="88" s="174" customFormat="1" x14ac:dyDescent="0.2"/>
    <row r="89" s="174" customFormat="1" x14ac:dyDescent="0.2"/>
    <row r="90" s="174" customFormat="1" x14ac:dyDescent="0.2"/>
    <row r="91" s="174" customFormat="1" x14ac:dyDescent="0.2"/>
    <row r="92" s="174" customFormat="1" x14ac:dyDescent="0.2"/>
    <row r="93" s="174" customFormat="1" x14ac:dyDescent="0.2"/>
    <row r="94" s="174" customFormat="1" x14ac:dyDescent="0.2"/>
    <row r="95" s="174" customFormat="1" x14ac:dyDescent="0.2"/>
    <row r="96" s="174" customFormat="1" x14ac:dyDescent="0.2"/>
  </sheetData>
  <mergeCells count="13">
    <mergeCell ref="C8:D8"/>
    <mergeCell ref="B41:E43"/>
    <mergeCell ref="I15:M15"/>
    <mergeCell ref="B2:M2"/>
    <mergeCell ref="B4:M4"/>
    <mergeCell ref="B5:M5"/>
    <mergeCell ref="C7:D7"/>
    <mergeCell ref="C10:D10"/>
    <mergeCell ref="C13:D13"/>
    <mergeCell ref="C11:D11"/>
    <mergeCell ref="C12:D12"/>
    <mergeCell ref="D15:H15"/>
    <mergeCell ref="C9:D9"/>
  </mergeCells>
  <dataValidations count="1">
    <dataValidation type="list" allowBlank="1" showInputMessage="1" showErrorMessage="1" sqref="C12:D12" xr:uid="{82127DC9-0815-45BA-9367-73977EDA36AD}">
      <formula1>INDIRECT(C11)</formula1>
    </dataValidation>
  </dataValidations>
  <hyperlinks>
    <hyperlink ref="N2" location="'Data Requirements'!A1" display="BACK" xr:uid="{B1D93A76-A17B-464C-8E15-C8FAA2C23F86}"/>
  </hyperlink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G11" sqref="G11"/>
    </sheetView>
  </sheetViews>
  <sheetFormatPr defaultRowHeight="12.75" x14ac:dyDescent="0.2"/>
  <cols>
    <col min="1" max="1" width="9.28515625" style="262" bestFit="1" customWidth="1"/>
    <col min="2" max="2" width="21" style="264" bestFit="1" customWidth="1"/>
    <col min="4" max="4" width="20.140625" style="287" bestFit="1" customWidth="1"/>
    <col min="5" max="7" width="19.140625" customWidth="1"/>
    <col min="8" max="8" width="19.140625" style="262" customWidth="1"/>
    <col min="9" max="9" width="8.7109375" style="264"/>
    <col min="10" max="10" width="17.5703125" style="264" bestFit="1" customWidth="1"/>
    <col min="11" max="11" width="13.42578125" style="264" bestFit="1" customWidth="1"/>
    <col min="12" max="12" width="15" style="264" bestFit="1" customWidth="1"/>
    <col min="13" max="13" width="13.42578125" style="264" bestFit="1" customWidth="1"/>
    <col min="14" max="14" width="15.140625" style="264" bestFit="1" customWidth="1"/>
    <col min="15" max="15" width="16.5703125" style="264" bestFit="1" customWidth="1"/>
  </cols>
  <sheetData>
    <row r="1" spans="1:15" x14ac:dyDescent="0.2">
      <c r="A1" s="261" t="s">
        <v>268</v>
      </c>
      <c r="B1" s="263" t="s">
        <v>269</v>
      </c>
      <c r="C1" s="265" t="s">
        <v>270</v>
      </c>
      <c r="D1" s="286" t="s">
        <v>271</v>
      </c>
      <c r="E1" s="265" t="s">
        <v>272</v>
      </c>
      <c r="F1" s="265" t="s">
        <v>273</v>
      </c>
      <c r="G1" s="265" t="s">
        <v>274</v>
      </c>
      <c r="H1" s="261" t="s">
        <v>275</v>
      </c>
      <c r="I1" s="263" t="s">
        <v>276</v>
      </c>
      <c r="J1" s="263" t="s">
        <v>277</v>
      </c>
      <c r="K1" s="263" t="s">
        <v>278</v>
      </c>
      <c r="L1" s="263" t="s">
        <v>279</v>
      </c>
      <c r="M1" s="263" t="s">
        <v>280</v>
      </c>
      <c r="N1" s="263" t="s">
        <v>281</v>
      </c>
      <c r="O1" s="263" t="s">
        <v>282</v>
      </c>
    </row>
    <row r="2" spans="1:15" x14ac:dyDescent="0.2">
      <c r="A2" s="262">
        <v>2018</v>
      </c>
      <c r="B2" s="264" t="s">
        <v>283</v>
      </c>
      <c r="C2" s="265" t="s">
        <v>284</v>
      </c>
      <c r="D2" s="287" t="s">
        <v>285</v>
      </c>
      <c r="E2" t="s">
        <v>286</v>
      </c>
      <c r="F2" t="s">
        <v>287</v>
      </c>
      <c r="I2" s="264" t="s">
        <v>288</v>
      </c>
      <c r="J2" s="264" t="s">
        <v>289</v>
      </c>
      <c r="K2" s="264" t="s">
        <v>290</v>
      </c>
      <c r="L2" s="264" t="s">
        <v>291</v>
      </c>
      <c r="M2" s="264" t="s">
        <v>292</v>
      </c>
      <c r="N2" s="264" t="s">
        <v>293</v>
      </c>
      <c r="O2" s="264" t="s">
        <v>294</v>
      </c>
    </row>
    <row r="3" spans="1:15" x14ac:dyDescent="0.2">
      <c r="A3" s="262">
        <v>2019</v>
      </c>
      <c r="B3" s="264" t="s">
        <v>295</v>
      </c>
      <c r="D3" s="287" t="s">
        <v>296</v>
      </c>
      <c r="E3" t="s">
        <v>297</v>
      </c>
      <c r="F3" t="s">
        <v>298</v>
      </c>
      <c r="I3" s="264" t="s">
        <v>299</v>
      </c>
      <c r="J3" s="264" t="s">
        <v>300</v>
      </c>
      <c r="K3" s="264" t="s">
        <v>301</v>
      </c>
      <c r="L3" s="264" t="s">
        <v>302</v>
      </c>
      <c r="M3" s="264" t="s">
        <v>303</v>
      </c>
      <c r="N3" s="264" t="s">
        <v>304</v>
      </c>
      <c r="O3" s="264" t="s">
        <v>305</v>
      </c>
    </row>
    <row r="4" spans="1:15" x14ac:dyDescent="0.2">
      <c r="A4" s="262">
        <v>2020</v>
      </c>
      <c r="D4" s="287" t="s">
        <v>306</v>
      </c>
      <c r="F4" t="s">
        <v>307</v>
      </c>
      <c r="I4" s="264" t="s">
        <v>308</v>
      </c>
      <c r="J4" s="264" t="s">
        <v>309</v>
      </c>
      <c r="K4" s="264" t="s">
        <v>32</v>
      </c>
      <c r="L4" s="264" t="s">
        <v>310</v>
      </c>
      <c r="M4" s="264" t="s">
        <v>311</v>
      </c>
      <c r="N4" s="264" t="s">
        <v>312</v>
      </c>
      <c r="O4" s="264" t="s">
        <v>313</v>
      </c>
    </row>
    <row r="5" spans="1:15" x14ac:dyDescent="0.2">
      <c r="A5" s="262">
        <v>2021</v>
      </c>
      <c r="D5" s="287" t="s">
        <v>314</v>
      </c>
      <c r="I5" s="264" t="s">
        <v>315</v>
      </c>
      <c r="J5" s="264" t="s">
        <v>316</v>
      </c>
      <c r="N5" s="264" t="s">
        <v>317</v>
      </c>
      <c r="O5" s="264" t="s">
        <v>318</v>
      </c>
    </row>
    <row r="6" spans="1:15" x14ac:dyDescent="0.2">
      <c r="A6" s="262">
        <v>2022</v>
      </c>
      <c r="D6" s="287" t="s">
        <v>319</v>
      </c>
      <c r="I6" s="264" t="s">
        <v>320</v>
      </c>
      <c r="J6" s="264" t="s">
        <v>321</v>
      </c>
      <c r="N6" s="264" t="s">
        <v>322</v>
      </c>
      <c r="O6" s="264" t="s">
        <v>323</v>
      </c>
    </row>
    <row r="7" spans="1:15" x14ac:dyDescent="0.2">
      <c r="A7" s="262">
        <v>2023</v>
      </c>
      <c r="D7" s="287" t="s">
        <v>324</v>
      </c>
      <c r="I7" s="264" t="s">
        <v>325</v>
      </c>
      <c r="J7" s="264" t="s">
        <v>326</v>
      </c>
      <c r="N7" s="264" t="s">
        <v>327</v>
      </c>
      <c r="O7" s="264" t="s">
        <v>328</v>
      </c>
    </row>
    <row r="8" spans="1:15" x14ac:dyDescent="0.2">
      <c r="A8" s="262">
        <v>2024</v>
      </c>
      <c r="D8" s="287" t="s">
        <v>329</v>
      </c>
      <c r="I8" s="264" t="s">
        <v>330</v>
      </c>
      <c r="J8" s="264" t="s">
        <v>331</v>
      </c>
      <c r="N8" s="264" t="s">
        <v>332</v>
      </c>
      <c r="O8" s="264" t="s">
        <v>333</v>
      </c>
    </row>
    <row r="9" spans="1:15" x14ac:dyDescent="0.2">
      <c r="A9" s="262">
        <v>2025</v>
      </c>
      <c r="D9" s="287" t="s">
        <v>334</v>
      </c>
      <c r="I9" s="264" t="s">
        <v>335</v>
      </c>
      <c r="J9" s="264" t="s">
        <v>336</v>
      </c>
      <c r="N9" s="264" t="s">
        <v>337</v>
      </c>
      <c r="O9" s="264" t="s">
        <v>338</v>
      </c>
    </row>
    <row r="10" spans="1:15" x14ac:dyDescent="0.2">
      <c r="A10" s="262">
        <v>2026</v>
      </c>
      <c r="I10" s="264" t="s">
        <v>339</v>
      </c>
      <c r="J10" s="264" t="s">
        <v>340</v>
      </c>
      <c r="O10" s="264" t="s">
        <v>341</v>
      </c>
    </row>
    <row r="11" spans="1:15" x14ac:dyDescent="0.2">
      <c r="A11" s="262">
        <v>2027</v>
      </c>
      <c r="I11" s="264" t="s">
        <v>342</v>
      </c>
      <c r="J11" s="264" t="s">
        <v>343</v>
      </c>
    </row>
    <row r="12" spans="1:15" x14ac:dyDescent="0.2">
      <c r="A12" s="262">
        <v>2028</v>
      </c>
      <c r="I12" s="264" t="s">
        <v>344</v>
      </c>
      <c r="J12" s="264" t="s">
        <v>345</v>
      </c>
    </row>
    <row r="13" spans="1:15" x14ac:dyDescent="0.2">
      <c r="A13" s="262">
        <v>2029</v>
      </c>
      <c r="I13" s="264" t="s">
        <v>346</v>
      </c>
      <c r="J13" s="264" t="s">
        <v>347</v>
      </c>
    </row>
    <row r="14" spans="1:15" x14ac:dyDescent="0.2">
      <c r="A14" s="262">
        <v>2030</v>
      </c>
      <c r="I14" s="264" t="s">
        <v>348</v>
      </c>
      <c r="J14" s="264" t="s">
        <v>349</v>
      </c>
    </row>
    <row r="15" spans="1:15" x14ac:dyDescent="0.2">
      <c r="I15" s="264" t="s">
        <v>350</v>
      </c>
      <c r="J15" s="264" t="s">
        <v>351</v>
      </c>
    </row>
    <row r="16" spans="1:15" x14ac:dyDescent="0.2">
      <c r="I16" s="264" t="s">
        <v>352</v>
      </c>
      <c r="J16" s="264" t="s">
        <v>353</v>
      </c>
    </row>
    <row r="17" spans="3:10" x14ac:dyDescent="0.2">
      <c r="I17" s="264" t="s">
        <v>354</v>
      </c>
      <c r="J17" s="264" t="s">
        <v>355</v>
      </c>
    </row>
    <row r="18" spans="3:10" x14ac:dyDescent="0.2">
      <c r="I18" s="264" t="s">
        <v>356</v>
      </c>
      <c r="J18" s="264" t="s">
        <v>357</v>
      </c>
    </row>
    <row r="19" spans="3:10" x14ac:dyDescent="0.2">
      <c r="I19" s="264" t="s">
        <v>358</v>
      </c>
      <c r="J19" s="264" t="s">
        <v>359</v>
      </c>
    </row>
    <row r="20" spans="3:10" x14ac:dyDescent="0.2">
      <c r="I20" s="264" t="s">
        <v>360</v>
      </c>
      <c r="J20" s="264" t="s">
        <v>361</v>
      </c>
    </row>
    <row r="21" spans="3:10" x14ac:dyDescent="0.2">
      <c r="I21" s="264" t="s">
        <v>362</v>
      </c>
      <c r="J21" s="264" t="s">
        <v>363</v>
      </c>
    </row>
    <row r="22" spans="3:10" x14ac:dyDescent="0.2">
      <c r="I22" s="264" t="s">
        <v>364</v>
      </c>
      <c r="J22" s="264" t="s">
        <v>365</v>
      </c>
    </row>
    <row r="23" spans="3:10" x14ac:dyDescent="0.2">
      <c r="I23" s="264" t="s">
        <v>366</v>
      </c>
      <c r="J23" s="264" t="s">
        <v>367</v>
      </c>
    </row>
    <row r="24" spans="3:10" x14ac:dyDescent="0.2">
      <c r="I24" s="264" t="s">
        <v>368</v>
      </c>
      <c r="J24" s="264" t="s">
        <v>369</v>
      </c>
    </row>
    <row r="25" spans="3:10" x14ac:dyDescent="0.2">
      <c r="I25" s="264" t="s">
        <v>370</v>
      </c>
      <c r="J25" s="264" t="s">
        <v>371</v>
      </c>
    </row>
    <row r="26" spans="3:10" x14ac:dyDescent="0.2">
      <c r="I26" s="264" t="s">
        <v>372</v>
      </c>
      <c r="J26" s="264" t="s">
        <v>373</v>
      </c>
    </row>
    <row r="27" spans="3:10" x14ac:dyDescent="0.2">
      <c r="I27" s="264" t="s">
        <v>374</v>
      </c>
      <c r="J27" s="264" t="s">
        <v>375</v>
      </c>
    </row>
    <row r="28" spans="3:10" x14ac:dyDescent="0.2">
      <c r="J28" s="264" t="s">
        <v>376</v>
      </c>
    </row>
    <row r="29" spans="3:10" x14ac:dyDescent="0.2">
      <c r="C29" t="s">
        <v>377</v>
      </c>
      <c r="D29" s="287" t="s">
        <v>377</v>
      </c>
    </row>
  </sheetData>
  <sortState xmlns:xlrd2="http://schemas.microsoft.com/office/spreadsheetml/2017/richdata2" ref="N2:N9">
    <sortCondition ref="N2"/>
  </sortState>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topLeftCell="A2" workbookViewId="0">
      <selection activeCell="G9" sqref="G9"/>
    </sheetView>
  </sheetViews>
  <sheetFormatPr defaultColWidth="11.42578125" defaultRowHeight="12.75" x14ac:dyDescent="0.2"/>
  <cols>
    <col min="1" max="1" width="2.7109375" style="2" customWidth="1"/>
    <col min="2" max="2" width="6.7109375" style="2" customWidth="1"/>
    <col min="3" max="3" width="13.7109375" style="2" customWidth="1"/>
    <col min="4" max="4" width="1.5703125" style="2" customWidth="1"/>
    <col min="5" max="12" width="13.7109375" style="2" customWidth="1"/>
    <col min="13" max="257" width="11.42578125" style="2"/>
    <col min="258" max="258" width="6.7109375" style="2" customWidth="1"/>
    <col min="259" max="259" width="13.7109375" style="2" customWidth="1"/>
    <col min="260" max="260" width="1.5703125" style="2" customWidth="1"/>
    <col min="261" max="268" width="13.7109375" style="2" customWidth="1"/>
    <col min="269" max="513" width="11.42578125" style="2"/>
    <col min="514" max="514" width="6.7109375" style="2" customWidth="1"/>
    <col min="515" max="515" width="13.7109375" style="2" customWidth="1"/>
    <col min="516" max="516" width="1.5703125" style="2" customWidth="1"/>
    <col min="517" max="524" width="13.7109375" style="2" customWidth="1"/>
    <col min="525" max="769" width="11.42578125" style="2"/>
    <col min="770" max="770" width="6.7109375" style="2" customWidth="1"/>
    <col min="771" max="771" width="13.7109375" style="2" customWidth="1"/>
    <col min="772" max="772" width="1.5703125" style="2" customWidth="1"/>
    <col min="773" max="780" width="13.7109375" style="2" customWidth="1"/>
    <col min="781" max="1025" width="11.42578125" style="2"/>
    <col min="1026" max="1026" width="6.7109375" style="2" customWidth="1"/>
    <col min="1027" max="1027" width="13.7109375" style="2" customWidth="1"/>
    <col min="1028" max="1028" width="1.5703125" style="2" customWidth="1"/>
    <col min="1029" max="1036" width="13.7109375" style="2" customWidth="1"/>
    <col min="1037" max="1281" width="11.42578125" style="2"/>
    <col min="1282" max="1282" width="6.7109375" style="2" customWidth="1"/>
    <col min="1283" max="1283" width="13.7109375" style="2" customWidth="1"/>
    <col min="1284" max="1284" width="1.5703125" style="2" customWidth="1"/>
    <col min="1285" max="1292" width="13.7109375" style="2" customWidth="1"/>
    <col min="1293" max="1537" width="11.42578125" style="2"/>
    <col min="1538" max="1538" width="6.7109375" style="2" customWidth="1"/>
    <col min="1539" max="1539" width="13.7109375" style="2" customWidth="1"/>
    <col min="1540" max="1540" width="1.5703125" style="2" customWidth="1"/>
    <col min="1541" max="1548" width="13.7109375" style="2" customWidth="1"/>
    <col min="1549" max="1793" width="11.42578125" style="2"/>
    <col min="1794" max="1794" width="6.7109375" style="2" customWidth="1"/>
    <col min="1795" max="1795" width="13.7109375" style="2" customWidth="1"/>
    <col min="1796" max="1796" width="1.5703125" style="2" customWidth="1"/>
    <col min="1797" max="1804" width="13.7109375" style="2" customWidth="1"/>
    <col min="1805" max="2049" width="11.42578125" style="2"/>
    <col min="2050" max="2050" width="6.7109375" style="2" customWidth="1"/>
    <col min="2051" max="2051" width="13.7109375" style="2" customWidth="1"/>
    <col min="2052" max="2052" width="1.5703125" style="2" customWidth="1"/>
    <col min="2053" max="2060" width="13.7109375" style="2" customWidth="1"/>
    <col min="2061" max="2305" width="11.42578125" style="2"/>
    <col min="2306" max="2306" width="6.7109375" style="2" customWidth="1"/>
    <col min="2307" max="2307" width="13.7109375" style="2" customWidth="1"/>
    <col min="2308" max="2308" width="1.5703125" style="2" customWidth="1"/>
    <col min="2309" max="2316" width="13.7109375" style="2" customWidth="1"/>
    <col min="2317" max="2561" width="11.42578125" style="2"/>
    <col min="2562" max="2562" width="6.7109375" style="2" customWidth="1"/>
    <col min="2563" max="2563" width="13.7109375" style="2" customWidth="1"/>
    <col min="2564" max="2564" width="1.5703125" style="2" customWidth="1"/>
    <col min="2565" max="2572" width="13.7109375" style="2" customWidth="1"/>
    <col min="2573" max="2817" width="11.42578125" style="2"/>
    <col min="2818" max="2818" width="6.7109375" style="2" customWidth="1"/>
    <col min="2819" max="2819" width="13.7109375" style="2" customWidth="1"/>
    <col min="2820" max="2820" width="1.5703125" style="2" customWidth="1"/>
    <col min="2821" max="2828" width="13.7109375" style="2" customWidth="1"/>
    <col min="2829" max="3073" width="11.42578125" style="2"/>
    <col min="3074" max="3074" width="6.7109375" style="2" customWidth="1"/>
    <col min="3075" max="3075" width="13.7109375" style="2" customWidth="1"/>
    <col min="3076" max="3076" width="1.5703125" style="2" customWidth="1"/>
    <col min="3077" max="3084" width="13.7109375" style="2" customWidth="1"/>
    <col min="3085" max="3329" width="11.42578125" style="2"/>
    <col min="3330" max="3330" width="6.7109375" style="2" customWidth="1"/>
    <col min="3331" max="3331" width="13.7109375" style="2" customWidth="1"/>
    <col min="3332" max="3332" width="1.5703125" style="2" customWidth="1"/>
    <col min="3333" max="3340" width="13.7109375" style="2" customWidth="1"/>
    <col min="3341" max="3585" width="11.42578125" style="2"/>
    <col min="3586" max="3586" width="6.7109375" style="2" customWidth="1"/>
    <col min="3587" max="3587" width="13.7109375" style="2" customWidth="1"/>
    <col min="3588" max="3588" width="1.5703125" style="2" customWidth="1"/>
    <col min="3589" max="3596" width="13.7109375" style="2" customWidth="1"/>
    <col min="3597" max="3841" width="11.42578125" style="2"/>
    <col min="3842" max="3842" width="6.7109375" style="2" customWidth="1"/>
    <col min="3843" max="3843" width="13.7109375" style="2" customWidth="1"/>
    <col min="3844" max="3844" width="1.5703125" style="2" customWidth="1"/>
    <col min="3845" max="3852" width="13.7109375" style="2" customWidth="1"/>
    <col min="3853" max="4097" width="11.42578125" style="2"/>
    <col min="4098" max="4098" width="6.7109375" style="2" customWidth="1"/>
    <col min="4099" max="4099" width="13.7109375" style="2" customWidth="1"/>
    <col min="4100" max="4100" width="1.5703125" style="2" customWidth="1"/>
    <col min="4101" max="4108" width="13.7109375" style="2" customWidth="1"/>
    <col min="4109" max="4353" width="11.42578125" style="2"/>
    <col min="4354" max="4354" width="6.7109375" style="2" customWidth="1"/>
    <col min="4355" max="4355" width="13.7109375" style="2" customWidth="1"/>
    <col min="4356" max="4356" width="1.5703125" style="2" customWidth="1"/>
    <col min="4357" max="4364" width="13.7109375" style="2" customWidth="1"/>
    <col min="4365" max="4609" width="11.42578125" style="2"/>
    <col min="4610" max="4610" width="6.7109375" style="2" customWidth="1"/>
    <col min="4611" max="4611" width="13.7109375" style="2" customWidth="1"/>
    <col min="4612" max="4612" width="1.5703125" style="2" customWidth="1"/>
    <col min="4613" max="4620" width="13.7109375" style="2" customWidth="1"/>
    <col min="4621" max="4865" width="11.42578125" style="2"/>
    <col min="4866" max="4866" width="6.7109375" style="2" customWidth="1"/>
    <col min="4867" max="4867" width="13.7109375" style="2" customWidth="1"/>
    <col min="4868" max="4868" width="1.5703125" style="2" customWidth="1"/>
    <col min="4869" max="4876" width="13.7109375" style="2" customWidth="1"/>
    <col min="4877" max="5121" width="11.42578125" style="2"/>
    <col min="5122" max="5122" width="6.7109375" style="2" customWidth="1"/>
    <col min="5123" max="5123" width="13.7109375" style="2" customWidth="1"/>
    <col min="5124" max="5124" width="1.5703125" style="2" customWidth="1"/>
    <col min="5125" max="5132" width="13.7109375" style="2" customWidth="1"/>
    <col min="5133" max="5377" width="11.42578125" style="2"/>
    <col min="5378" max="5378" width="6.7109375" style="2" customWidth="1"/>
    <col min="5379" max="5379" width="13.7109375" style="2" customWidth="1"/>
    <col min="5380" max="5380" width="1.5703125" style="2" customWidth="1"/>
    <col min="5381" max="5388" width="13.7109375" style="2" customWidth="1"/>
    <col min="5389" max="5633" width="11.42578125" style="2"/>
    <col min="5634" max="5634" width="6.7109375" style="2" customWidth="1"/>
    <col min="5635" max="5635" width="13.7109375" style="2" customWidth="1"/>
    <col min="5636" max="5636" width="1.5703125" style="2" customWidth="1"/>
    <col min="5637" max="5644" width="13.7109375" style="2" customWidth="1"/>
    <col min="5645" max="5889" width="11.42578125" style="2"/>
    <col min="5890" max="5890" width="6.7109375" style="2" customWidth="1"/>
    <col min="5891" max="5891" width="13.7109375" style="2" customWidth="1"/>
    <col min="5892" max="5892" width="1.5703125" style="2" customWidth="1"/>
    <col min="5893" max="5900" width="13.7109375" style="2" customWidth="1"/>
    <col min="5901" max="6145" width="11.42578125" style="2"/>
    <col min="6146" max="6146" width="6.7109375" style="2" customWidth="1"/>
    <col min="6147" max="6147" width="13.7109375" style="2" customWidth="1"/>
    <col min="6148" max="6148" width="1.5703125" style="2" customWidth="1"/>
    <col min="6149" max="6156" width="13.7109375" style="2" customWidth="1"/>
    <col min="6157" max="6401" width="11.42578125" style="2"/>
    <col min="6402" max="6402" width="6.7109375" style="2" customWidth="1"/>
    <col min="6403" max="6403" width="13.7109375" style="2" customWidth="1"/>
    <col min="6404" max="6404" width="1.5703125" style="2" customWidth="1"/>
    <col min="6405" max="6412" width="13.7109375" style="2" customWidth="1"/>
    <col min="6413" max="6657" width="11.42578125" style="2"/>
    <col min="6658" max="6658" width="6.7109375" style="2" customWidth="1"/>
    <col min="6659" max="6659" width="13.7109375" style="2" customWidth="1"/>
    <col min="6660" max="6660" width="1.5703125" style="2" customWidth="1"/>
    <col min="6661" max="6668" width="13.7109375" style="2" customWidth="1"/>
    <col min="6669" max="6913" width="11.42578125" style="2"/>
    <col min="6914" max="6914" width="6.7109375" style="2" customWidth="1"/>
    <col min="6915" max="6915" width="13.7109375" style="2" customWidth="1"/>
    <col min="6916" max="6916" width="1.5703125" style="2" customWidth="1"/>
    <col min="6917" max="6924" width="13.7109375" style="2" customWidth="1"/>
    <col min="6925" max="7169" width="11.42578125" style="2"/>
    <col min="7170" max="7170" width="6.7109375" style="2" customWidth="1"/>
    <col min="7171" max="7171" width="13.7109375" style="2" customWidth="1"/>
    <col min="7172" max="7172" width="1.5703125" style="2" customWidth="1"/>
    <col min="7173" max="7180" width="13.7109375" style="2" customWidth="1"/>
    <col min="7181" max="7425" width="11.42578125" style="2"/>
    <col min="7426" max="7426" width="6.7109375" style="2" customWidth="1"/>
    <col min="7427" max="7427" width="13.7109375" style="2" customWidth="1"/>
    <col min="7428" max="7428" width="1.5703125" style="2" customWidth="1"/>
    <col min="7429" max="7436" width="13.7109375" style="2" customWidth="1"/>
    <col min="7437" max="7681" width="11.42578125" style="2"/>
    <col min="7682" max="7682" width="6.7109375" style="2" customWidth="1"/>
    <col min="7683" max="7683" width="13.7109375" style="2" customWidth="1"/>
    <col min="7684" max="7684" width="1.5703125" style="2" customWidth="1"/>
    <col min="7685" max="7692" width="13.7109375" style="2" customWidth="1"/>
    <col min="7693" max="7937" width="11.42578125" style="2"/>
    <col min="7938" max="7938" width="6.7109375" style="2" customWidth="1"/>
    <col min="7939" max="7939" width="13.7109375" style="2" customWidth="1"/>
    <col min="7940" max="7940" width="1.5703125" style="2" customWidth="1"/>
    <col min="7941" max="7948" width="13.7109375" style="2" customWidth="1"/>
    <col min="7949" max="8193" width="11.42578125" style="2"/>
    <col min="8194" max="8194" width="6.7109375" style="2" customWidth="1"/>
    <col min="8195" max="8195" width="13.7109375" style="2" customWidth="1"/>
    <col min="8196" max="8196" width="1.5703125" style="2" customWidth="1"/>
    <col min="8197" max="8204" width="13.7109375" style="2" customWidth="1"/>
    <col min="8205" max="8449" width="11.42578125" style="2"/>
    <col min="8450" max="8450" width="6.7109375" style="2" customWidth="1"/>
    <col min="8451" max="8451" width="13.7109375" style="2" customWidth="1"/>
    <col min="8452" max="8452" width="1.5703125" style="2" customWidth="1"/>
    <col min="8453" max="8460" width="13.7109375" style="2" customWidth="1"/>
    <col min="8461" max="8705" width="11.42578125" style="2"/>
    <col min="8706" max="8706" width="6.7109375" style="2" customWidth="1"/>
    <col min="8707" max="8707" width="13.7109375" style="2" customWidth="1"/>
    <col min="8708" max="8708" width="1.5703125" style="2" customWidth="1"/>
    <col min="8709" max="8716" width="13.7109375" style="2" customWidth="1"/>
    <col min="8717" max="8961" width="11.42578125" style="2"/>
    <col min="8962" max="8962" width="6.7109375" style="2" customWidth="1"/>
    <col min="8963" max="8963" width="13.7109375" style="2" customWidth="1"/>
    <col min="8964" max="8964" width="1.5703125" style="2" customWidth="1"/>
    <col min="8965" max="8972" width="13.7109375" style="2" customWidth="1"/>
    <col min="8973" max="9217" width="11.42578125" style="2"/>
    <col min="9218" max="9218" width="6.7109375" style="2" customWidth="1"/>
    <col min="9219" max="9219" width="13.7109375" style="2" customWidth="1"/>
    <col min="9220" max="9220" width="1.5703125" style="2" customWidth="1"/>
    <col min="9221" max="9228" width="13.7109375" style="2" customWidth="1"/>
    <col min="9229" max="9473" width="11.42578125" style="2"/>
    <col min="9474" max="9474" width="6.7109375" style="2" customWidth="1"/>
    <col min="9475" max="9475" width="13.7109375" style="2" customWidth="1"/>
    <col min="9476" max="9476" width="1.5703125" style="2" customWidth="1"/>
    <col min="9477" max="9484" width="13.7109375" style="2" customWidth="1"/>
    <col min="9485" max="9729" width="11.42578125" style="2"/>
    <col min="9730" max="9730" width="6.7109375" style="2" customWidth="1"/>
    <col min="9731" max="9731" width="13.7109375" style="2" customWidth="1"/>
    <col min="9732" max="9732" width="1.5703125" style="2" customWidth="1"/>
    <col min="9733" max="9740" width="13.7109375" style="2" customWidth="1"/>
    <col min="9741" max="9985" width="11.42578125" style="2"/>
    <col min="9986" max="9986" width="6.7109375" style="2" customWidth="1"/>
    <col min="9987" max="9987" width="13.7109375" style="2" customWidth="1"/>
    <col min="9988" max="9988" width="1.5703125" style="2" customWidth="1"/>
    <col min="9989" max="9996" width="13.7109375" style="2" customWidth="1"/>
    <col min="9997" max="10241" width="11.42578125" style="2"/>
    <col min="10242" max="10242" width="6.7109375" style="2" customWidth="1"/>
    <col min="10243" max="10243" width="13.7109375" style="2" customWidth="1"/>
    <col min="10244" max="10244" width="1.5703125" style="2" customWidth="1"/>
    <col min="10245" max="10252" width="13.7109375" style="2" customWidth="1"/>
    <col min="10253" max="10497" width="11.42578125" style="2"/>
    <col min="10498" max="10498" width="6.7109375" style="2" customWidth="1"/>
    <col min="10499" max="10499" width="13.7109375" style="2" customWidth="1"/>
    <col min="10500" max="10500" width="1.5703125" style="2" customWidth="1"/>
    <col min="10501" max="10508" width="13.7109375" style="2" customWidth="1"/>
    <col min="10509" max="10753" width="11.42578125" style="2"/>
    <col min="10754" max="10754" width="6.7109375" style="2" customWidth="1"/>
    <col min="10755" max="10755" width="13.7109375" style="2" customWidth="1"/>
    <col min="10756" max="10756" width="1.5703125" style="2" customWidth="1"/>
    <col min="10757" max="10764" width="13.7109375" style="2" customWidth="1"/>
    <col min="10765" max="11009" width="11.42578125" style="2"/>
    <col min="11010" max="11010" width="6.7109375" style="2" customWidth="1"/>
    <col min="11011" max="11011" width="13.7109375" style="2" customWidth="1"/>
    <col min="11012" max="11012" width="1.5703125" style="2" customWidth="1"/>
    <col min="11013" max="11020" width="13.7109375" style="2" customWidth="1"/>
    <col min="11021" max="11265" width="11.42578125" style="2"/>
    <col min="11266" max="11266" width="6.7109375" style="2" customWidth="1"/>
    <col min="11267" max="11267" width="13.7109375" style="2" customWidth="1"/>
    <col min="11268" max="11268" width="1.5703125" style="2" customWidth="1"/>
    <col min="11269" max="11276" width="13.7109375" style="2" customWidth="1"/>
    <col min="11277" max="11521" width="11.42578125" style="2"/>
    <col min="11522" max="11522" width="6.7109375" style="2" customWidth="1"/>
    <col min="11523" max="11523" width="13.7109375" style="2" customWidth="1"/>
    <col min="11524" max="11524" width="1.5703125" style="2" customWidth="1"/>
    <col min="11525" max="11532" width="13.7109375" style="2" customWidth="1"/>
    <col min="11533" max="11777" width="11.42578125" style="2"/>
    <col min="11778" max="11778" width="6.7109375" style="2" customWidth="1"/>
    <col min="11779" max="11779" width="13.7109375" style="2" customWidth="1"/>
    <col min="11780" max="11780" width="1.5703125" style="2" customWidth="1"/>
    <col min="11781" max="11788" width="13.7109375" style="2" customWidth="1"/>
    <col min="11789" max="12033" width="11.42578125" style="2"/>
    <col min="12034" max="12034" width="6.7109375" style="2" customWidth="1"/>
    <col min="12035" max="12035" width="13.7109375" style="2" customWidth="1"/>
    <col min="12036" max="12036" width="1.5703125" style="2" customWidth="1"/>
    <col min="12037" max="12044" width="13.7109375" style="2" customWidth="1"/>
    <col min="12045" max="12289" width="11.42578125" style="2"/>
    <col min="12290" max="12290" width="6.7109375" style="2" customWidth="1"/>
    <col min="12291" max="12291" width="13.7109375" style="2" customWidth="1"/>
    <col min="12292" max="12292" width="1.5703125" style="2" customWidth="1"/>
    <col min="12293" max="12300" width="13.7109375" style="2" customWidth="1"/>
    <col min="12301" max="12545" width="11.42578125" style="2"/>
    <col min="12546" max="12546" width="6.7109375" style="2" customWidth="1"/>
    <col min="12547" max="12547" width="13.7109375" style="2" customWidth="1"/>
    <col min="12548" max="12548" width="1.5703125" style="2" customWidth="1"/>
    <col min="12549" max="12556" width="13.7109375" style="2" customWidth="1"/>
    <col min="12557" max="12801" width="11.42578125" style="2"/>
    <col min="12802" max="12802" width="6.7109375" style="2" customWidth="1"/>
    <col min="12803" max="12803" width="13.7109375" style="2" customWidth="1"/>
    <col min="12804" max="12804" width="1.5703125" style="2" customWidth="1"/>
    <col min="12805" max="12812" width="13.7109375" style="2" customWidth="1"/>
    <col min="12813" max="13057" width="11.42578125" style="2"/>
    <col min="13058" max="13058" width="6.7109375" style="2" customWidth="1"/>
    <col min="13059" max="13059" width="13.7109375" style="2" customWidth="1"/>
    <col min="13060" max="13060" width="1.5703125" style="2" customWidth="1"/>
    <col min="13061" max="13068" width="13.7109375" style="2" customWidth="1"/>
    <col min="13069" max="13313" width="11.42578125" style="2"/>
    <col min="13314" max="13314" width="6.7109375" style="2" customWidth="1"/>
    <col min="13315" max="13315" width="13.7109375" style="2" customWidth="1"/>
    <col min="13316" max="13316" width="1.5703125" style="2" customWidth="1"/>
    <col min="13317" max="13324" width="13.7109375" style="2" customWidth="1"/>
    <col min="13325" max="13569" width="11.42578125" style="2"/>
    <col min="13570" max="13570" width="6.7109375" style="2" customWidth="1"/>
    <col min="13571" max="13571" width="13.7109375" style="2" customWidth="1"/>
    <col min="13572" max="13572" width="1.5703125" style="2" customWidth="1"/>
    <col min="13573" max="13580" width="13.7109375" style="2" customWidth="1"/>
    <col min="13581" max="13825" width="11.42578125" style="2"/>
    <col min="13826" max="13826" width="6.7109375" style="2" customWidth="1"/>
    <col min="13827" max="13827" width="13.7109375" style="2" customWidth="1"/>
    <col min="13828" max="13828" width="1.5703125" style="2" customWidth="1"/>
    <col min="13829" max="13836" width="13.7109375" style="2" customWidth="1"/>
    <col min="13837" max="14081" width="11.42578125" style="2"/>
    <col min="14082" max="14082" width="6.7109375" style="2" customWidth="1"/>
    <col min="14083" max="14083" width="13.7109375" style="2" customWidth="1"/>
    <col min="14084" max="14084" width="1.5703125" style="2" customWidth="1"/>
    <col min="14085" max="14092" width="13.7109375" style="2" customWidth="1"/>
    <col min="14093" max="14337" width="11.42578125" style="2"/>
    <col min="14338" max="14338" width="6.7109375" style="2" customWidth="1"/>
    <col min="14339" max="14339" width="13.7109375" style="2" customWidth="1"/>
    <col min="14340" max="14340" width="1.5703125" style="2" customWidth="1"/>
    <col min="14341" max="14348" width="13.7109375" style="2" customWidth="1"/>
    <col min="14349" max="14593" width="11.42578125" style="2"/>
    <col min="14594" max="14594" width="6.7109375" style="2" customWidth="1"/>
    <col min="14595" max="14595" width="13.7109375" style="2" customWidth="1"/>
    <col min="14596" max="14596" width="1.5703125" style="2" customWidth="1"/>
    <col min="14597" max="14604" width="13.7109375" style="2" customWidth="1"/>
    <col min="14605" max="14849" width="11.42578125" style="2"/>
    <col min="14850" max="14850" width="6.7109375" style="2" customWidth="1"/>
    <col min="14851" max="14851" width="13.7109375" style="2" customWidth="1"/>
    <col min="14852" max="14852" width="1.5703125" style="2" customWidth="1"/>
    <col min="14853" max="14860" width="13.7109375" style="2" customWidth="1"/>
    <col min="14861" max="15105" width="11.42578125" style="2"/>
    <col min="15106" max="15106" width="6.7109375" style="2" customWidth="1"/>
    <col min="15107" max="15107" width="13.7109375" style="2" customWidth="1"/>
    <col min="15108" max="15108" width="1.5703125" style="2" customWidth="1"/>
    <col min="15109" max="15116" width="13.7109375" style="2" customWidth="1"/>
    <col min="15117" max="15361" width="11.42578125" style="2"/>
    <col min="15362" max="15362" width="6.7109375" style="2" customWidth="1"/>
    <col min="15363" max="15363" width="13.7109375" style="2" customWidth="1"/>
    <col min="15364" max="15364" width="1.5703125" style="2" customWidth="1"/>
    <col min="15365" max="15372" width="13.7109375" style="2" customWidth="1"/>
    <col min="15373" max="15617" width="11.42578125" style="2"/>
    <col min="15618" max="15618" width="6.7109375" style="2" customWidth="1"/>
    <col min="15619" max="15619" width="13.7109375" style="2" customWidth="1"/>
    <col min="15620" max="15620" width="1.5703125" style="2" customWidth="1"/>
    <col min="15621" max="15628" width="13.7109375" style="2" customWidth="1"/>
    <col min="15629" max="15873" width="11.42578125" style="2"/>
    <col min="15874" max="15874" width="6.7109375" style="2" customWidth="1"/>
    <col min="15875" max="15875" width="13.7109375" style="2" customWidth="1"/>
    <col min="15876" max="15876" width="1.5703125" style="2" customWidth="1"/>
    <col min="15877" max="15884" width="13.7109375" style="2" customWidth="1"/>
    <col min="15885" max="16129" width="11.42578125" style="2"/>
    <col min="16130" max="16130" width="6.7109375" style="2" customWidth="1"/>
    <col min="16131" max="16131" width="13.7109375" style="2" customWidth="1"/>
    <col min="16132" max="16132" width="1.5703125" style="2" customWidth="1"/>
    <col min="16133" max="16140" width="13.7109375" style="2" customWidth="1"/>
    <col min="16141" max="16384" width="11.42578125" style="2"/>
  </cols>
  <sheetData>
    <row r="1" spans="2:12" ht="13.5" thickBot="1" x14ac:dyDescent="0.25"/>
    <row r="2" spans="2:12" ht="47.1" customHeight="1" thickBot="1" x14ac:dyDescent="0.25">
      <c r="B2" s="390" t="s">
        <v>378</v>
      </c>
      <c r="C2" s="391"/>
      <c r="D2" s="391"/>
      <c r="E2" s="391"/>
      <c r="F2" s="391"/>
      <c r="G2" s="391"/>
      <c r="H2" s="391"/>
      <c r="I2" s="391"/>
      <c r="J2" s="391"/>
      <c r="K2" s="391"/>
      <c r="L2" s="392"/>
    </row>
    <row r="3" spans="2:12" s="1" customFormat="1" ht="13.5" thickBot="1" x14ac:dyDescent="0.25"/>
    <row r="4" spans="2:12" s="1" customFormat="1" ht="14.45" customHeight="1" x14ac:dyDescent="0.2">
      <c r="B4" s="472" t="s">
        <v>379</v>
      </c>
      <c r="C4" s="473"/>
      <c r="D4" s="473"/>
      <c r="E4" s="473"/>
      <c r="F4" s="473"/>
      <c r="G4" s="473"/>
      <c r="H4" s="473"/>
      <c r="I4" s="473"/>
      <c r="J4" s="473"/>
      <c r="K4" s="473"/>
      <c r="L4" s="474"/>
    </row>
    <row r="5" spans="2:12" s="1" customFormat="1" ht="14.45" customHeight="1" x14ac:dyDescent="0.2">
      <c r="B5" s="475"/>
      <c r="C5" s="476"/>
      <c r="D5" s="476"/>
      <c r="E5" s="476"/>
      <c r="F5" s="476"/>
      <c r="G5" s="476"/>
      <c r="H5" s="476"/>
      <c r="I5" s="476"/>
      <c r="J5" s="476"/>
      <c r="K5" s="476"/>
      <c r="L5" s="477"/>
    </row>
    <row r="6" spans="2:12" s="1" customFormat="1" ht="14.45" customHeight="1" thickBot="1" x14ac:dyDescent="0.25">
      <c r="B6" s="478"/>
      <c r="C6" s="479"/>
      <c r="D6" s="479"/>
      <c r="E6" s="479"/>
      <c r="F6" s="479"/>
      <c r="G6" s="479"/>
      <c r="H6" s="479"/>
      <c r="I6" s="479"/>
      <c r="J6" s="479"/>
      <c r="K6" s="479"/>
      <c r="L6" s="480"/>
    </row>
    <row r="7" spans="2:12" ht="13.15" customHeight="1" x14ac:dyDescent="0.2"/>
    <row r="8" spans="2:12" ht="13.15" customHeight="1" x14ac:dyDescent="0.2"/>
    <row r="33" s="2" customFormat="1" x14ac:dyDescent="0.2"/>
    <row r="34" s="2" customFormat="1" x14ac:dyDescent="0.2"/>
    <row r="35" s="2" customFormat="1" x14ac:dyDescent="0.2"/>
    <row r="36" s="2" customFormat="1" x14ac:dyDescent="0.2"/>
    <row r="37" s="2" customFormat="1" x14ac:dyDescent="0.2"/>
    <row r="38" s="2" customFormat="1" x14ac:dyDescent="0.2"/>
    <row r="39" s="2" customFormat="1" x14ac:dyDescent="0.2"/>
    <row r="40" s="2" customFormat="1" x14ac:dyDescent="0.2"/>
    <row r="41" s="2" customFormat="1" x14ac:dyDescent="0.2"/>
    <row r="42" s="2" customFormat="1" x14ac:dyDescent="0.2"/>
    <row r="43" s="2" customFormat="1" x14ac:dyDescent="0.2"/>
    <row r="44" s="2" customFormat="1" x14ac:dyDescent="0.2"/>
    <row r="45" s="2" customFormat="1" x14ac:dyDescent="0.2"/>
    <row r="46" s="2" customFormat="1" x14ac:dyDescent="0.2"/>
    <row r="47" s="2" customFormat="1" x14ac:dyDescent="0.2"/>
    <row r="48" s="2" customFormat="1" x14ac:dyDescent="0.2"/>
    <row r="49" s="2" customFormat="1" x14ac:dyDescent="0.2"/>
    <row r="50" s="2" customFormat="1" x14ac:dyDescent="0.2"/>
    <row r="51" s="2" customFormat="1" x14ac:dyDescent="0.2"/>
    <row r="52" s="2" customFormat="1" x14ac:dyDescent="0.2"/>
    <row r="53" s="2" customFormat="1" x14ac:dyDescent="0.2"/>
    <row r="54" s="2" customFormat="1" x14ac:dyDescent="0.2"/>
    <row r="55" s="2" customFormat="1" x14ac:dyDescent="0.2"/>
    <row r="56" s="2" customFormat="1" x14ac:dyDescent="0.2"/>
    <row r="57" s="2" customFormat="1" x14ac:dyDescent="0.2"/>
    <row r="58" s="2" customFormat="1" x14ac:dyDescent="0.2"/>
    <row r="59" s="2" customFormat="1" x14ac:dyDescent="0.2"/>
    <row r="60" s="2" customFormat="1" x14ac:dyDescent="0.2"/>
    <row r="61" s="2" customFormat="1" x14ac:dyDescent="0.2"/>
    <row r="62" s="2" customFormat="1" x14ac:dyDescent="0.2"/>
    <row r="63" s="2" customFormat="1" x14ac:dyDescent="0.2"/>
    <row r="64" s="2" customFormat="1" x14ac:dyDescent="0.2"/>
  </sheetData>
  <mergeCells count="2">
    <mergeCell ref="B2:L2"/>
    <mergeCell ref="B4:L6"/>
  </mergeCells>
  <pageMargins left="0.7" right="0.7" top="0.75" bottom="0.75" header="0.3" footer="0.3"/>
  <pageSetup paperSize="9"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f3c6f0c0-389c-4324-ac00-59fc67b57edf" ContentTypeId="0x0101" PreviousValue="false"/>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ca729617-940b-463d-a580-46cc6a3ad9da" xsi:nil="true"/>
    <DateTime xmlns="58610f8b-ed29-49af-8f6b-9346c40dda7f">2021-09-21T11:10:06+00:00</DateTime>
    <lcf76f155ced4ddcb4097134ff3c332f xmlns="58610f8b-ed29-49af-8f6b-9346c40dda7f">
      <Terms xmlns="http://schemas.microsoft.com/office/infopath/2007/PartnerControls"/>
    </lcf76f155ced4ddcb4097134ff3c332f>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FE39FD6-D8FC-4325-A739-35D5441AED25}">
  <ds:schemaRefs>
    <ds:schemaRef ds:uri="Microsoft.SharePoint.Taxonomy.ContentTypeSync"/>
  </ds:schemaRefs>
</ds:datastoreItem>
</file>

<file path=customXml/itemProps2.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3.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customXml/itemProps4.xml><?xml version="1.0" encoding="utf-8"?>
<ds:datastoreItem xmlns:ds="http://schemas.openxmlformats.org/officeDocument/2006/customXml" ds:itemID="{1F2CBEB0-439C-4A41-9C8D-BB62538A68B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Header</vt:lpstr>
      <vt:lpstr>Data Requirements</vt:lpstr>
      <vt:lpstr>Treaty Statistics_Prop</vt:lpstr>
      <vt:lpstr>Treaty Statistics_PropCC</vt:lpstr>
      <vt:lpstr>Treaty Statistics_Non-Prop</vt:lpstr>
      <vt:lpstr>Rate Development</vt:lpstr>
      <vt:lpstr>Rate Development_Motor Specific</vt:lpstr>
      <vt:lpstr>Max UW Limit Development</vt:lpstr>
      <vt:lpstr>Number of Risks Development</vt:lpstr>
      <vt:lpstr>Risk Profile</vt:lpstr>
      <vt:lpstr>Large Loss List</vt:lpstr>
      <vt:lpstr>Large Loss Triangulation</vt:lpstr>
      <vt:lpstr>Aggregate Triangulation</vt:lpstr>
      <vt:lpstr>CAT Loss Triangulation</vt:lpstr>
      <vt:lpstr>Cresta Zone Control</vt:lpstr>
      <vt:lpstr>Top 20 Risks</vt:lpstr>
      <vt:lpstr>Motor Fleet List</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2025-09-15T06:45:04Z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c6dace53-bb26-49c1-b263-21baa9bbd689_Enabled">
    <vt:lpwstr>True</vt:lpwstr>
  </property>
  <property fmtid="{D5CDD505-2E9C-101B-9397-08002B2CF9AE}" pid="3" name="MSIP_Label_c6dace53-bb26-49c1-b263-21baa9bbd689_SiteId">
    <vt:lpwstr>582259a1-dcaa-4cca-b1cf-e60d3f045ecd</vt:lpwstr>
  </property>
  <property fmtid="{D5CDD505-2E9C-101B-9397-08002B2CF9AE}" pid="4" name="MSIP_Label_c6dace53-bb26-49c1-b263-21baa9bbd689_Owner">
    <vt:lpwstr>NSong@munichre.com</vt:lpwstr>
  </property>
  <property fmtid="{D5CDD505-2E9C-101B-9397-08002B2CF9AE}" pid="5" name="MSIP_Label_c6dace53-bb26-49c1-b263-21baa9bbd689_SetDate">
    <vt:lpwstr>2019-09-11T12:10:41.9371903Z</vt:lpwstr>
  </property>
  <property fmtid="{D5CDD505-2E9C-101B-9397-08002B2CF9AE}" pid="6" name="MSIP_Label_c6dace53-bb26-49c1-b263-21baa9bbd689_Name">
    <vt:lpwstr>For internal use only (C2)</vt:lpwstr>
  </property>
  <property fmtid="{D5CDD505-2E9C-101B-9397-08002B2CF9AE}" pid="7" name="MSIP_Label_c6dace53-bb26-49c1-b263-21baa9bbd689_Application">
    <vt:lpwstr>Microsoft Azure Information Protection</vt:lpwstr>
  </property>
  <property fmtid="{D5CDD505-2E9C-101B-9397-08002B2CF9AE}" pid="8" name="MSIP_Label_c6dace53-bb26-49c1-b263-21baa9bbd689_ActionId">
    <vt:lpwstr>d5b917f8-cdca-46e3-b68f-c9352f047d71</vt:lpwstr>
  </property>
  <property fmtid="{D5CDD505-2E9C-101B-9397-08002B2CF9AE}" pid="9" name="MSIP_Label_c6dace53-bb26-49c1-b263-21baa9bbd689_Extended_MSFT_Method">
    <vt:lpwstr>Manual</vt:lpwstr>
  </property>
  <property fmtid="{D5CDD505-2E9C-101B-9397-08002B2CF9AE}" pid="10" name="Sensitivity">
    <vt:lpwstr>For internal use only (C2)</vt:lpwstr>
  </property>
  <property fmtid="{D5CDD505-2E9C-101B-9397-08002B2CF9AE}" pid="11" name="ContentTypeId">
    <vt:lpwstr>0x010100827CD038B7CC2446B47A55ACD22EE530</vt:lpwstr>
  </property>
  <property fmtid="{D5CDD505-2E9C-101B-9397-08002B2CF9AE}" pid="12" name="c9863a07a6e8436e860b2867612edb35">
    <vt:lpwstr>English|ebe7f9af-02c6-41fd-9ba0-91259586bcc8</vt:lpwstr>
  </property>
  <property fmtid="{D5CDD505-2E9C-101B-9397-08002B2CF9AE}" pid="13" name="nb55a5b702614ac0ba92daa584d34640">
    <vt:lpwstr>Draft|d1173cd6-ba74-4fb9-bcf7-d20da93f8db3</vt:lpwstr>
  </property>
  <property fmtid="{D5CDD505-2E9C-101B-9397-08002B2CF9AE}" pid="14" name="essentials_Confidentiality">
    <vt:lpwstr>3;#C2 - for internal use only|6d553f3d-61b7-489e-aaa9-b8769a1e1769</vt:lpwstr>
  </property>
  <property fmtid="{D5CDD505-2E9C-101B-9397-08002B2CF9AE}" pid="15" name="essentials_Integrity">
    <vt:lpwstr>5;#Less significant|fd678ffd-6617-4891-8670-c5684830bd05</vt:lpwstr>
  </property>
  <property fmtid="{D5CDD505-2E9C-101B-9397-08002B2CF9AE}" pid="16" name="essentials_Availability">
    <vt:lpwstr>4;#non-vital|033f938d-d12f-445d-a012-eb166949f3b6</vt:lpwstr>
  </property>
  <property fmtid="{D5CDD505-2E9C-101B-9397-08002B2CF9AE}" pid="17" name="_dlc_DocIdItemGuid">
    <vt:lpwstr>0ee95025-7237-4420-98cd-2bca2e45482d</vt:lpwstr>
  </property>
  <property fmtid="{D5CDD505-2E9C-101B-9397-08002B2CF9AE}" pid="18" name="essentials_Language">
    <vt:lpwstr>6;#English|ebe7f9af-02c6-41fd-9ba0-91259586bcc8</vt:lpwstr>
  </property>
  <property fmtid="{D5CDD505-2E9C-101B-9397-08002B2CF9AE}" pid="19" name="ccollab_DocumentStatus">
    <vt:lpwstr>7;#Draft|d1173cd6-ba74-4fb9-bcf7-d20da93f8db3</vt:lpwstr>
  </property>
  <property fmtid="{D5CDD505-2E9C-101B-9397-08002B2CF9AE}" pid="20" name="MediaServiceImageTags">
    <vt:lpwstr/>
  </property>
</Properties>
</file>