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drawings/drawing7.xml" ContentType="application/vnd.openxmlformats-officedocument.drawing+xml"/>
  <Override PartName="/xl/customProperty7.bin" ContentType="application/vnd.openxmlformats-officedocument.spreadsheetml.customProperty"/>
  <Override PartName="/xl/drawings/drawing8.xml" ContentType="application/vnd.openxmlformats-officedocument.drawing+xml"/>
  <Override PartName="/xl/customProperty8.bin" ContentType="application/vnd.openxmlformats-officedocument.spreadsheetml.customProperty"/>
  <Override PartName="/xl/drawings/drawing9.xml" ContentType="application/vnd.openxmlformats-officedocument.drawing+xml"/>
  <Override PartName="/xl/drawings/drawing10.xml" ContentType="application/vnd.openxmlformats-officedocument.drawing+xml"/>
  <Override PartName="/xl/customProperty9.bin" ContentType="application/vnd.openxmlformats-officedocument.spreadsheetml.customProperty"/>
  <Override PartName="/xl/drawings/drawing11.xml" ContentType="application/vnd.openxmlformats-officedocument.drawing+xml"/>
  <Override PartName="/xl/customProperty10.bin" ContentType="application/vnd.openxmlformats-officedocument.spreadsheetml.customProperty"/>
  <Override PartName="/xl/drawings/drawing12.xml" ContentType="application/vnd.openxmlformats-officedocument.drawing+xml"/>
  <Override PartName="/xl/customProperty11.bin" ContentType="application/vnd.openxmlformats-officedocument.spreadsheetml.customProperty"/>
  <Override PartName="/xl/drawings/drawing13.xml" ContentType="application/vnd.openxmlformats-officedocument.drawing+xml"/>
  <Override PartName="/xl/customProperty12.bin" ContentType="application/vnd.openxmlformats-officedocument.spreadsheetml.customProperty"/>
  <Override PartName="/xl/drawings/drawing14.xml" ContentType="application/vnd.openxmlformats-officedocument.drawing+xml"/>
  <Override PartName="/xl/customProperty13.bin" ContentType="application/vnd.openxmlformats-officedocument.spreadsheetml.customProperty"/>
  <Override PartName="/xl/drawings/drawing15.xml" ContentType="application/vnd.openxmlformats-officedocument.drawing+xml"/>
  <Override PartName="/xl/customProperty14.bin" ContentType="application/vnd.openxmlformats-officedocument.spreadsheetml.customProperty"/>
  <Override PartName="/xl/drawings/drawing16.xml" ContentType="application/vnd.openxmlformats-officedocument.drawing+xml"/>
  <Override PartName="/xl/customProperty15.bin" ContentType="application/vnd.openxmlformats-officedocument.spreadsheetml.customProperty"/>
  <Override PartName="/xl/drawings/drawing17.xml" ContentType="application/vnd.openxmlformats-officedocument.drawing+xml"/>
  <Override PartName="/xl/customProperty16.bin" ContentType="application/vnd.openxmlformats-officedocument.spreadsheetml.customProperty"/>
  <Override PartName="/xl/drawings/drawing18.xml" ContentType="application/vnd.openxmlformats-officedocument.drawing+xml"/>
  <Override PartName="/xl/comments1.xml" ContentType="application/vnd.openxmlformats-officedocument.spreadsheetml.comments+xml"/>
  <Override PartName="/xl/customProperty17.bin" ContentType="application/vnd.openxmlformats-officedocument.spreadsheetml.customProperty"/>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Robin Ochieng\OneDrive - Kenbright\Attachments\projects\2025\August\data-collection-website-kenbright-re\Resources\"/>
    </mc:Choice>
  </mc:AlternateContent>
  <xr:revisionPtr revIDLastSave="0" documentId="8_{D9E24953-7FDD-4ABA-AA67-4145338397E4}" xr6:coauthVersionLast="47" xr6:coauthVersionMax="47" xr10:uidLastSave="{00000000-0000-0000-0000-000000000000}"/>
  <bookViews>
    <workbookView xWindow="1170" yWindow="1170" windowWidth="21600" windowHeight="12645" tabRatio="1000" firstSheet="6" activeTab="17" xr2:uid="{29BC96EE-FECF-448E-BB2E-CA765B0E369F}"/>
  </bookViews>
  <sheets>
    <sheet name="Header" sheetId="20" r:id="rId1"/>
    <sheet name="Data Requirements" sheetId="9" r:id="rId2"/>
    <sheet name="Data Requirements " sheetId="36" r:id="rId3"/>
    <sheet name="Overview" sheetId="35" r:id="rId4"/>
    <sheet name="EPI Summary" sheetId="28" r:id="rId5"/>
    <sheet name="Treaty Statistics_Prop" sheetId="10" r:id="rId6"/>
    <sheet name="Statistics_Non-Prop RISK XL " sheetId="40" r:id="rId7"/>
    <sheet name="Rate Development" sheetId="11" r:id="rId8"/>
    <sheet name="UW Limit " sheetId="12" r:id="rId9"/>
    <sheet name="Risk Profile" sheetId="41" r:id="rId10"/>
    <sheet name="Large Loss List" sheetId="14" r:id="rId11"/>
    <sheet name="Cat Loss List " sheetId="30" r:id="rId12"/>
    <sheet name="Large Loss Triangulation" sheetId="16" r:id="rId13"/>
    <sheet name="Triangulation" sheetId="15" r:id="rId14"/>
    <sheet name="Cresta Zone Control" sheetId="17" r:id="rId15"/>
    <sheet name="Top 20 Risks" sheetId="18" r:id="rId16"/>
    <sheet name="Inflation" sheetId="32" r:id="rId17"/>
    <sheet name="Climate change exposure" sheetId="34" r:id="rId18"/>
    <sheet name="Notes" sheetId="1" r:id="rId19"/>
    <sheet name="Sheet1" sheetId="38" r:id="rId20"/>
  </sheets>
  <externalReferences>
    <externalReference r:id="rId21"/>
  </externalReferences>
  <definedNames>
    <definedName name="Casualty">#REF!</definedName>
    <definedName name="Marine">#REF!</definedName>
    <definedName name="Property">#REF!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2" i="18" l="1"/>
  <c r="L22" i="18"/>
  <c r="M22" i="18"/>
  <c r="P18" i="10"/>
  <c r="H34" i="41"/>
  <c r="G34" i="41"/>
  <c r="M14" i="18"/>
  <c r="M15" i="18"/>
  <c r="M16" i="18"/>
  <c r="M17" i="18"/>
  <c r="M18" i="18"/>
  <c r="M19" i="18"/>
  <c r="M20" i="18"/>
  <c r="M21" i="18"/>
  <c r="M13" i="18"/>
  <c r="L14" i="18"/>
  <c r="L15" i="18"/>
  <c r="L16" i="18"/>
  <c r="L17" i="18"/>
  <c r="L18" i="18"/>
  <c r="L19" i="18"/>
  <c r="L20" i="18"/>
  <c r="L21" i="18"/>
  <c r="L13" i="18"/>
  <c r="K14" i="18"/>
  <c r="K15" i="18"/>
  <c r="K16" i="18"/>
  <c r="K17" i="18"/>
  <c r="K18" i="18"/>
  <c r="K19" i="18"/>
  <c r="K20" i="18"/>
  <c r="K21" i="18"/>
  <c r="K13" i="18"/>
  <c r="J14" i="18"/>
  <c r="J15" i="18"/>
  <c r="J16" i="18"/>
  <c r="J17" i="18"/>
  <c r="J18" i="18"/>
  <c r="J19" i="18"/>
  <c r="J20" i="18"/>
  <c r="J21" i="18"/>
  <c r="J22" i="18"/>
  <c r="J13" i="18"/>
  <c r="H14" i="18"/>
  <c r="H15" i="18"/>
  <c r="H16" i="18"/>
  <c r="H17" i="18"/>
  <c r="H18" i="18"/>
  <c r="H19" i="18"/>
  <c r="H20" i="18"/>
  <c r="H21" i="18"/>
  <c r="H22" i="18"/>
  <c r="H13" i="18"/>
  <c r="G14" i="18"/>
  <c r="G15" i="18"/>
  <c r="G16" i="18"/>
  <c r="G17" i="18"/>
  <c r="G18" i="18"/>
  <c r="G19" i="18"/>
  <c r="G20" i="18"/>
  <c r="G21" i="18"/>
  <c r="G22" i="18"/>
  <c r="G13" i="18"/>
  <c r="O26" i="14"/>
  <c r="L26" i="14"/>
  <c r="O24" i="14"/>
  <c r="L24" i="14"/>
  <c r="O23" i="14"/>
  <c r="L23" i="14"/>
  <c r="O22" i="14"/>
  <c r="M22" i="14"/>
  <c r="L22" i="14"/>
  <c r="O21" i="14"/>
  <c r="L21" i="14"/>
  <c r="K18" i="14"/>
  <c r="O18" i="14" s="1"/>
  <c r="O25" i="14"/>
  <c r="M25" i="14"/>
  <c r="L25" i="14"/>
  <c r="J20" i="14"/>
  <c r="J21" i="14"/>
  <c r="J22" i="14"/>
  <c r="J23" i="14"/>
  <c r="J24" i="14"/>
  <c r="J25" i="14"/>
  <c r="J26" i="14"/>
  <c r="I22" i="14"/>
  <c r="I23" i="14"/>
  <c r="I24" i="14"/>
  <c r="I25" i="14"/>
  <c r="I26" i="14"/>
  <c r="I21" i="14"/>
  <c r="H22" i="14"/>
  <c r="H23" i="14"/>
  <c r="H24" i="14"/>
  <c r="H25" i="14"/>
  <c r="H26" i="14"/>
  <c r="H21" i="14"/>
  <c r="O20" i="14"/>
  <c r="M20" i="14"/>
  <c r="P20" i="14"/>
  <c r="L20" i="14"/>
  <c r="P19" i="14"/>
  <c r="O19" i="14"/>
  <c r="M19" i="14"/>
  <c r="L19" i="14"/>
  <c r="J19" i="14"/>
  <c r="O17" i="14"/>
  <c r="M18" i="14"/>
  <c r="M17" i="14"/>
  <c r="J18" i="14"/>
  <c r="L17" i="14"/>
  <c r="J17" i="14"/>
  <c r="L18" i="14" l="1"/>
  <c r="M34" i="40"/>
  <c r="N34" i="40"/>
  <c r="M35" i="40"/>
  <c r="N35" i="40" s="1"/>
  <c r="E17" i="10"/>
  <c r="G17" i="10" s="1"/>
  <c r="I26" i="10"/>
  <c r="J26" i="10" s="1"/>
  <c r="I20" i="10"/>
  <c r="J20" i="10" s="1"/>
  <c r="I19" i="10"/>
  <c r="I18" i="10"/>
  <c r="J18" i="10" s="1"/>
  <c r="I17" i="10"/>
  <c r="D18" i="10"/>
  <c r="D19" i="10"/>
  <c r="D20" i="10"/>
  <c r="D21" i="10"/>
  <c r="I21" i="10" s="1"/>
  <c r="D22" i="10"/>
  <c r="D23" i="10"/>
  <c r="E23" i="10" s="1"/>
  <c r="G23" i="10" s="1"/>
  <c r="H23" i="10" s="1"/>
  <c r="D24" i="10"/>
  <c r="I24" i="10" s="1"/>
  <c r="D25" i="10"/>
  <c r="E25" i="10" s="1"/>
  <c r="D26" i="10"/>
  <c r="D17" i="10"/>
  <c r="J17" i="10"/>
  <c r="J19" i="10"/>
  <c r="G20" i="10"/>
  <c r="E18" i="10"/>
  <c r="E26" i="10"/>
  <c r="E19" i="10"/>
  <c r="E20" i="10"/>
  <c r="H20" i="10" s="1"/>
  <c r="J21" i="10" l="1"/>
  <c r="I22" i="10"/>
  <c r="J22" i="10" s="1"/>
  <c r="I23" i="10"/>
  <c r="J23" i="10" s="1"/>
  <c r="I25" i="10"/>
  <c r="H17" i="10"/>
  <c r="H19" i="10"/>
  <c r="G25" i="10"/>
  <c r="H25" i="10" s="1"/>
  <c r="J25" i="10"/>
  <c r="J24" i="10"/>
  <c r="E24" i="10"/>
  <c r="E22" i="10"/>
  <c r="G19" i="10"/>
  <c r="E21" i="10"/>
  <c r="G26" i="10"/>
  <c r="H26" i="10" s="1"/>
  <c r="G18" i="10"/>
  <c r="H18" i="10" s="1"/>
  <c r="G21" i="10" l="1"/>
  <c r="H21" i="10" s="1"/>
  <c r="G22" i="10"/>
  <c r="H22" i="10" s="1"/>
  <c r="G24" i="10"/>
  <c r="H24" i="10" s="1"/>
  <c r="I45" i="40" l="1"/>
  <c r="J45" i="40"/>
  <c r="K45" i="40"/>
  <c r="L45" i="40"/>
  <c r="H45" i="40"/>
  <c r="H62" i="40"/>
  <c r="M52" i="40"/>
  <c r="N52" i="40" s="1"/>
  <c r="M53" i="40"/>
  <c r="N53" i="40" s="1"/>
  <c r="M54" i="40"/>
  <c r="N54" i="40" s="1"/>
  <c r="M36" i="40"/>
  <c r="N36" i="40" s="1"/>
  <c r="K21" i="11" l="1"/>
  <c r="J21" i="11" s="1"/>
  <c r="I21" i="11" s="1"/>
  <c r="H21" i="11" s="1"/>
  <c r="G21" i="11" s="1"/>
  <c r="F21" i="11" s="1"/>
  <c r="E21" i="11" s="1"/>
  <c r="D21" i="11" s="1"/>
  <c r="L21" i="11"/>
  <c r="H32" i="41" l="1"/>
  <c r="H33" i="41"/>
  <c r="G33" i="41"/>
  <c r="G32" i="41"/>
  <c r="F35" i="41" l="1"/>
  <c r="E35" i="41"/>
  <c r="D35" i="41"/>
  <c r="I34" i="41"/>
  <c r="B34" i="41"/>
  <c r="I33" i="41"/>
  <c r="H31" i="41"/>
  <c r="G31" i="41"/>
  <c r="H30" i="41"/>
  <c r="G30" i="41"/>
  <c r="H29" i="41"/>
  <c r="G29" i="41"/>
  <c r="H28" i="41"/>
  <c r="G28" i="41"/>
  <c r="H27" i="41"/>
  <c r="G27" i="41"/>
  <c r="H26" i="41"/>
  <c r="G26" i="41"/>
  <c r="H25" i="41"/>
  <c r="G25" i="41"/>
  <c r="H24" i="41"/>
  <c r="G24" i="41"/>
  <c r="H23" i="41"/>
  <c r="G23" i="41"/>
  <c r="E9" i="41"/>
  <c r="E8" i="41"/>
  <c r="E7" i="41"/>
  <c r="E6" i="41"/>
  <c r="E5" i="41"/>
  <c r="I29" i="41" l="1"/>
  <c r="I28" i="41"/>
  <c r="I26" i="41"/>
  <c r="I25" i="41"/>
  <c r="I24" i="41"/>
  <c r="I35" i="41"/>
  <c r="I23" i="41"/>
  <c r="H35" i="41"/>
  <c r="I30" i="41"/>
  <c r="I32" i="41"/>
  <c r="I27" i="41"/>
  <c r="I31" i="41"/>
  <c r="G35" i="41"/>
  <c r="I67" i="40" l="1"/>
  <c r="L67" i="40"/>
  <c r="K67" i="40"/>
  <c r="J67" i="40"/>
  <c r="M66" i="40"/>
  <c r="N66" i="40" s="1"/>
  <c r="L62" i="40"/>
  <c r="K62" i="40"/>
  <c r="J62" i="40"/>
  <c r="M61" i="40"/>
  <c r="N61" i="40" s="1"/>
  <c r="M60" i="40"/>
  <c r="N60" i="40" s="1"/>
  <c r="M59" i="40"/>
  <c r="N59" i="40" s="1"/>
  <c r="M58" i="40"/>
  <c r="N58" i="40" s="1"/>
  <c r="M57" i="40"/>
  <c r="N57" i="40" s="1"/>
  <c r="M56" i="40"/>
  <c r="N56" i="40" s="1"/>
  <c r="M55" i="40"/>
  <c r="M43" i="40"/>
  <c r="M42" i="40"/>
  <c r="N42" i="40" s="1"/>
  <c r="M41" i="40"/>
  <c r="N41" i="40" s="1"/>
  <c r="M40" i="40"/>
  <c r="M39" i="40"/>
  <c r="N39" i="40" s="1"/>
  <c r="M38" i="40"/>
  <c r="N38" i="40" s="1"/>
  <c r="M37" i="40"/>
  <c r="M17" i="40"/>
  <c r="N17" i="40" s="1"/>
  <c r="M16" i="40"/>
  <c r="N16" i="40" s="1"/>
  <c r="M15" i="40"/>
  <c r="E9" i="40"/>
  <c r="E8" i="40"/>
  <c r="E7" i="40"/>
  <c r="E6" i="40"/>
  <c r="E5" i="40"/>
  <c r="M45" i="40" l="1"/>
  <c r="I62" i="40"/>
  <c r="N55" i="40"/>
  <c r="N43" i="40"/>
  <c r="N40" i="40"/>
  <c r="N37" i="40"/>
  <c r="M67" i="40"/>
  <c r="M62" i="40"/>
  <c r="N15" i="40"/>
  <c r="N45" i="40" l="1"/>
  <c r="N62" i="40"/>
  <c r="N67" i="40"/>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D8" i="28"/>
  <c r="D61" i="15"/>
  <c r="D73" i="15" s="1"/>
  <c r="G33" i="30"/>
  <c r="H33" i="30"/>
  <c r="I33" i="30"/>
  <c r="J33" i="30"/>
  <c r="K33" i="30"/>
  <c r="N33" i="30"/>
  <c r="P33" i="30"/>
  <c r="D9" i="30"/>
  <c r="D8" i="30"/>
  <c r="D7" i="30"/>
  <c r="D6" i="30"/>
  <c r="D5" i="30"/>
  <c r="P33" i="14"/>
  <c r="N33" i="14"/>
  <c r="K33" i="14"/>
  <c r="J33" i="14"/>
  <c r="I33" i="14"/>
  <c r="H33" i="14"/>
  <c r="G33" i="14"/>
  <c r="J27" i="10"/>
  <c r="I27" i="10"/>
  <c r="H27" i="10"/>
  <c r="G27" i="10"/>
  <c r="E27" i="10"/>
  <c r="D27" i="10"/>
  <c r="C27" i="10"/>
  <c r="K15" i="10"/>
  <c r="K16" i="10"/>
  <c r="K17" i="10"/>
  <c r="K18" i="10"/>
  <c r="K19" i="10"/>
  <c r="K20" i="10"/>
  <c r="K21" i="10"/>
  <c r="K22" i="10"/>
  <c r="K23" i="10"/>
  <c r="K24" i="10"/>
  <c r="K25" i="10"/>
  <c r="K26" i="10"/>
  <c r="K14" i="10"/>
  <c r="D9" i="28"/>
  <c r="D7" i="28"/>
  <c r="D6" i="28"/>
  <c r="D5" i="28"/>
  <c r="B21" i="9"/>
  <c r="B22" i="9" s="1"/>
  <c r="B23" i="9" s="1"/>
  <c r="B24" i="9" s="1"/>
  <c r="B25" i="9" s="1"/>
  <c r="B26" i="9" s="1"/>
  <c r="B27" i="9" s="1"/>
  <c r="B28" i="9" s="1"/>
  <c r="B29" i="9" s="1"/>
  <c r="B30" i="9" s="1"/>
  <c r="B31" i="9" s="1"/>
  <c r="B32" i="9" s="1"/>
  <c r="B33" i="9" s="1"/>
  <c r="B34" i="9" s="1"/>
  <c r="B35" i="9" s="1"/>
  <c r="B36" i="9" s="1"/>
  <c r="B37" i="9" s="1"/>
  <c r="L26" i="10" l="1"/>
  <c r="M26" i="10"/>
  <c r="L18" i="10"/>
  <c r="M18" i="10"/>
  <c r="L25" i="10"/>
  <c r="M25" i="10"/>
  <c r="L23" i="10"/>
  <c r="M23" i="10"/>
  <c r="L19" i="10"/>
  <c r="M19" i="10"/>
  <c r="L22" i="10"/>
  <c r="M22" i="10"/>
  <c r="L20" i="10"/>
  <c r="M20" i="10"/>
  <c r="L24" i="10"/>
  <c r="M24" i="10"/>
  <c r="L21" i="10"/>
  <c r="M21" i="10"/>
  <c r="L17" i="10"/>
  <c r="M17" i="10"/>
  <c r="K27" i="10"/>
  <c r="M27" i="10" s="1"/>
  <c r="F27" i="10"/>
  <c r="L27" i="10" l="1"/>
  <c r="B7" i="9"/>
  <c r="B8" i="9" s="1"/>
  <c r="B9" i="9" s="1"/>
  <c r="B10" i="9" s="1"/>
  <c r="B11" i="9" l="1"/>
  <c r="B12" i="9" s="1"/>
  <c r="B13" i="9" s="1"/>
  <c r="B14" i="9" s="1"/>
  <c r="B15" i="9" s="1"/>
  <c r="B16" i="9" s="1"/>
  <c r="D5" i="18"/>
  <c r="D5" i="16"/>
  <c r="D5" i="15"/>
  <c r="D5" i="14"/>
  <c r="D5" i="12"/>
  <c r="D5" i="11"/>
  <c r="D5" i="10"/>
  <c r="D9" i="18"/>
  <c r="D9" i="16"/>
  <c r="D9" i="15"/>
  <c r="D9" i="14"/>
  <c r="D9" i="12"/>
  <c r="D9" i="11"/>
  <c r="D9" i="10"/>
  <c r="D8" i="18"/>
  <c r="D8" i="16"/>
  <c r="D8" i="15"/>
  <c r="D8" i="14"/>
  <c r="D8" i="12"/>
  <c r="D8" i="11"/>
  <c r="D8" i="10"/>
  <c r="D6" i="18" l="1"/>
  <c r="D7" i="18"/>
  <c r="D6" i="16"/>
  <c r="D7" i="16"/>
  <c r="D6" i="15"/>
  <c r="D7" i="15"/>
  <c r="D6" i="14"/>
  <c r="D7" i="14"/>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s>
  <commentList>
    <comment ref="H6" authorId="0" shapeId="0" xr:uid="{014CDA8D-1E1D-4DD2-8584-5D4050067179}">
      <text>
        <r>
          <rPr>
            <b/>
            <sz val="9"/>
            <color indexed="81"/>
            <rFont val="Tahoma"/>
            <family val="2"/>
          </rPr>
          <t>Exposure to the market</t>
        </r>
      </text>
    </comment>
  </commentList>
</comments>
</file>

<file path=xl/sharedStrings.xml><?xml version="1.0" encoding="utf-8"?>
<sst xmlns="http://schemas.openxmlformats.org/spreadsheetml/2006/main" count="956" uniqueCount="441">
  <si>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</si>
  <si>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</si>
  <si>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</si>
  <si>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</si>
  <si>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</si>
  <si>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</si>
  <si>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</si>
  <si>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</si>
  <si>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</si>
  <si>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</si>
  <si>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</si>
  <si>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</si>
  <si>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</si>
  <si>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</si>
  <si>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</si>
  <si>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</si>
  <si>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</si>
  <si>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</si>
  <si>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</si>
  <si>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</si>
  <si>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</si>
  <si>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</si>
  <si>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</si>
  <si>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</si>
  <si>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</si>
  <si>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</si>
  <si>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</si>
  <si>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</si>
  <si>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</si>
  <si>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</si>
  <si>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</si>
  <si>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</si>
  <si>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</si>
  <si>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</si>
  <si>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</si>
  <si>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</si>
  <si>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</si>
  <si>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</si>
  <si>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</si>
  <si>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</si>
  <si>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</si>
  <si>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</si>
  <si>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</si>
  <si>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</si>
  <si>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</si>
  <si>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</si>
  <si>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</si>
  <si>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</si>
  <si>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</si>
  <si>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</si>
  <si>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</si>
  <si>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</si>
  <si>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</si>
  <si>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</si>
  <si>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</si>
  <si>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</si>
  <si>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</si>
  <si>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</si>
  <si>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</si>
  <si>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</si>
  <si>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</si>
  <si>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</si>
  <si>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</si>
  <si>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</si>
  <si>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</si>
  <si>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</si>
  <si>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</si>
  <si>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</si>
  <si>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</si>
  <si>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</si>
  <si>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</si>
  <si>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</si>
  <si>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</si>
  <si>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</si>
  <si>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</si>
  <si>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</si>
  <si>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</si>
  <si>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</si>
  <si>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</si>
  <si>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</si>
  <si>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</si>
  <si>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</si>
  <si>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</si>
  <si>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</si>
  <si>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</si>
  <si>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</si>
  <si>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</si>
  <si>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</si>
  <si>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</si>
  <si>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</si>
  <si>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</si>
  <si>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</si>
  <si>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</si>
  <si>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</si>
  <si>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</si>
  <si>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</si>
  <si>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</si>
  <si>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</si>
  <si>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</si>
  <si>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</si>
  <si>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</si>
  <si>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</si>
  <si>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</si>
  <si>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</si>
  <si>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</si>
  <si>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</si>
  <si>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</si>
  <si>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</si>
  <si>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</si>
  <si>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</si>
  <si>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</si>
  <si>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</si>
  <si>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</si>
  <si>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</si>
  <si>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</si>
  <si>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</si>
  <si>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</si>
  <si>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</si>
  <si>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</si>
  <si>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</si>
  <si>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</si>
  <si>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</si>
  <si>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</si>
  <si>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</si>
  <si>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</si>
  <si>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</si>
  <si>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</si>
  <si>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</si>
  <si>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</si>
  <si>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</si>
  <si>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</si>
  <si>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</si>
  <si>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</si>
  <si>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</si>
  <si>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</si>
  <si>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</si>
  <si>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</si>
  <si>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</si>
  <si>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</si>
  <si>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</si>
  <si>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</si>
  <si>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</si>
  <si>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</si>
  <si>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</si>
  <si>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</si>
  <si>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</si>
  <si>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</si>
  <si>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</si>
  <si>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</si>
  <si>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</si>
  <si>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</si>
  <si>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</si>
  <si>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</si>
  <si>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</si>
  <si>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</si>
  <si>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</si>
  <si>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</si>
  <si>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</si>
  <si>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</si>
  <si>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</si>
  <si>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</si>
  <si>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</si>
  <si>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</si>
  <si>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</si>
  <si>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</si>
  <si>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</si>
  <si>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</si>
  <si>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</si>
  <si>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</si>
  <si>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</si>
  <si>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</si>
  <si>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</si>
  <si>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</si>
  <si>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</si>
  <si>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</si>
  <si>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</si>
  <si>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</si>
  <si>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</si>
  <si>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</si>
  <si>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</si>
  <si>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</si>
  <si>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</si>
  <si>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Property</t>
  </si>
  <si>
    <t>Total Sum Insured</t>
  </si>
  <si>
    <t>Fire</t>
  </si>
  <si>
    <t>Motor</t>
  </si>
  <si>
    <t>Engineering</t>
  </si>
  <si>
    <t>Excess of Loss</t>
  </si>
  <si>
    <t>KES</t>
  </si>
  <si>
    <t>Kenya</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</si>
  <si>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</si>
  <si>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</si>
  <si>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</si>
  <si>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</si>
  <si>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</si>
  <si>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</si>
  <si>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</si>
  <si>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</si>
  <si>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</si>
  <si>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</si>
  <si>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 xml:space="preserve">Original Estimate </t>
  </si>
  <si>
    <t xml:space="preserve">Actual </t>
  </si>
  <si>
    <t>Revised Estimate</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</si>
  <si>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</si>
  <si>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</si>
  <si>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</si>
  <si>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</si>
  <si>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</si>
  <si>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</si>
  <si>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</si>
  <si>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</si>
  <si>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</si>
  <si>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</si>
  <si>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</si>
  <si>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</si>
  <si>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</si>
  <si>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</si>
  <si>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</si>
  <si>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</si>
  <si>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</si>
  <si>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</si>
  <si>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</si>
  <si>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</si>
  <si>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</si>
  <si>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</si>
  <si>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</si>
  <si>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</si>
  <si>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</si>
  <si>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 xml:space="preserve">Retention </t>
  </si>
  <si>
    <t>Lower Limit</t>
  </si>
  <si>
    <t>Total Annual Premiums
(Ex VAT)</t>
  </si>
  <si>
    <t>Average Sum Insured
(Ex VAT)</t>
  </si>
  <si>
    <t>Average Premium
(Ex VAT)</t>
  </si>
  <si>
    <t>Average Rate</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</si>
  <si>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</si>
  <si>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</si>
  <si>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</si>
  <si>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</si>
  <si>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</si>
  <si>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</si>
  <si>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</si>
  <si>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</si>
  <si>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</si>
  <si>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</si>
  <si>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</si>
  <si>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</si>
  <si>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</si>
  <si>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</si>
  <si>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</si>
  <si>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</si>
  <si>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</si>
  <si>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</si>
  <si>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</si>
  <si>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</si>
  <si>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</si>
  <si>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</si>
  <si>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</si>
  <si>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</si>
  <si>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</si>
  <si>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</si>
  <si>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</si>
  <si>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</si>
  <si>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</si>
  <si>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</si>
  <si>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</si>
  <si>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</si>
  <si>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</si>
  <si>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</si>
  <si>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</si>
  <si>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</si>
  <si>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</si>
  <si>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</si>
  <si>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</si>
  <si>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</si>
  <si>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</si>
  <si>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</si>
  <si>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</si>
  <si>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</si>
  <si>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</si>
  <si>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</si>
  <si>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</si>
  <si>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</si>
  <si>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</si>
  <si>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</si>
  <si>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</si>
  <si>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</si>
  <si>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</si>
  <si>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</si>
  <si>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</si>
  <si>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</si>
  <si>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</si>
  <si>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</si>
  <si>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</si>
  <si>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</si>
  <si>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</si>
  <si>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</si>
  <si>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</si>
  <si>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</si>
  <si>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</si>
  <si>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</si>
  <si>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</si>
  <si>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</si>
  <si>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</si>
  <si>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</si>
  <si>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</si>
  <si>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</si>
  <si>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</si>
  <si>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</si>
  <si>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</si>
  <si>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</si>
  <si>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ABC Holdings Ltd</t>
  </si>
  <si>
    <t>Premium Summary</t>
  </si>
  <si>
    <t>Underwriting/ Table of Limits</t>
  </si>
  <si>
    <t xml:space="preserve">Limits </t>
  </si>
  <si>
    <t>Section</t>
  </si>
  <si>
    <t>GWP Split Per Section</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</si>
  <si>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</si>
  <si>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</si>
  <si>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</si>
  <si>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</si>
  <si>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</si>
  <si>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</si>
  <si>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</si>
  <si>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</si>
  <si>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</si>
  <si>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</si>
  <si>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</si>
  <si>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</si>
  <si>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</si>
  <si>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</si>
  <si>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</si>
  <si>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</si>
  <si>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</si>
  <si>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</si>
  <si>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</si>
  <si>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</si>
  <si>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</si>
  <si>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</si>
  <si>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</si>
  <si>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</si>
  <si>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</si>
  <si>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</si>
  <si>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</si>
  <si>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</si>
  <si>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</si>
  <si>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</si>
  <si>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</si>
  <si>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</si>
  <si>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</si>
  <si>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</si>
  <si>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XOL - LAYER 1</t>
  </si>
  <si>
    <t xml:space="preserve"> XOL - LAYER 2</t>
  </si>
  <si>
    <t>line of business (Fire)  PML or SI</t>
  </si>
  <si>
    <t>IAR</t>
  </si>
  <si>
    <t>FIRE MD</t>
  </si>
  <si>
    <t>FIRE INDUSTRIAL</t>
  </si>
  <si>
    <t>INDUSTRIAL ALL RISKS</t>
  </si>
  <si>
    <t>January - December 2025</t>
  </si>
  <si>
    <t>EPI Value (KES)</t>
  </si>
  <si>
    <t>FIRE</t>
  </si>
  <si>
    <t>ZARAI REINSURANCE CORPORATION</t>
  </si>
  <si>
    <t>2024 - 2025</t>
  </si>
  <si>
    <t>2025 - 2026</t>
  </si>
  <si>
    <t>Jay Apparels Plaza</t>
  </si>
  <si>
    <t>12.05.2025</t>
  </si>
  <si>
    <t xml:space="preserve">Fire </t>
  </si>
  <si>
    <t>01.01.2025</t>
  </si>
  <si>
    <t>12.03.2025</t>
  </si>
  <si>
    <t>17.06.2025</t>
  </si>
  <si>
    <t>22.08.2025</t>
  </si>
  <si>
    <t>11.09.2025</t>
  </si>
  <si>
    <t>19.01.2025</t>
  </si>
  <si>
    <t>14.02.2025</t>
  </si>
  <si>
    <t>18.01.2025</t>
  </si>
  <si>
    <t>19.03.2025</t>
  </si>
  <si>
    <t>Lipa Towers</t>
  </si>
  <si>
    <t>Kejua Aluko House</t>
  </si>
  <si>
    <t>Real Teller Appartments</t>
  </si>
  <si>
    <t>comfort Suites</t>
  </si>
  <si>
    <t>Kaya supermarket</t>
  </si>
  <si>
    <t>Wago Mall</t>
  </si>
  <si>
    <t>Eleza school</t>
  </si>
  <si>
    <t>Mayain Resort</t>
  </si>
  <si>
    <t>Water Appartment</t>
  </si>
  <si>
    <t>Floods</t>
  </si>
  <si>
    <t>Earth Quake</t>
  </si>
  <si>
    <t xml:space="preserve">AFCOCOM PLC </t>
  </si>
  <si>
    <t>SOCIAL HOUSING PEOPLE</t>
  </si>
  <si>
    <t>KENYA HORSES ASSOCIATION</t>
  </si>
  <si>
    <t>SOMA NA WEWE</t>
  </si>
  <si>
    <t xml:space="preserve">INTERNATIONAL WORKERS </t>
  </si>
  <si>
    <t>HOTPOLICY</t>
  </si>
  <si>
    <t>CAB BANK KENYA</t>
  </si>
  <si>
    <t>LEADERS</t>
  </si>
  <si>
    <t>AMB BANK OF KENYA</t>
  </si>
  <si>
    <t>NATIONAL FUND FOR PEOPLE</t>
  </si>
  <si>
    <t>IT</t>
  </si>
  <si>
    <t>SOCIAL</t>
  </si>
  <si>
    <t>NGO</t>
  </si>
  <si>
    <t>FINANCE</t>
  </si>
  <si>
    <t>CONSTRUCTION</t>
  </si>
  <si>
    <t>DIGITAL</t>
  </si>
  <si>
    <t>Rising repair &amp; parts costs, supply chain delays.</t>
  </si>
  <si>
    <t>Construction materials &amp; labour up, CCIs &gt; CPI.</t>
  </si>
  <si>
    <t>General inflation indicator but less relevant for claims</t>
  </si>
  <si>
    <t>Best for rebuild costs</t>
  </si>
  <si>
    <t>exchange rates (imported parts), insurer/industry repair cost surveys, insurer claims inflation indices (if available).</t>
  </si>
  <si>
    <t>critical when exposures are geographically concentrated</t>
  </si>
  <si>
    <t>Marine</t>
  </si>
  <si>
    <t>Aviation</t>
  </si>
  <si>
    <t>Health</t>
  </si>
  <si>
    <t>Liability</t>
  </si>
  <si>
    <t>Life</t>
  </si>
  <si>
    <t>Quota Share Treaty</t>
  </si>
  <si>
    <t>DIY Holdings Ltd</t>
  </si>
  <si>
    <t>CDA Holdings Ltd</t>
  </si>
  <si>
    <t>PLY Holdings Ltd</t>
  </si>
  <si>
    <t>DIV Holdings Ltd</t>
  </si>
  <si>
    <t>RET Holdings Ltd</t>
  </si>
  <si>
    <t>PIY Holdings Ltd</t>
  </si>
  <si>
    <t>MAG Holdings Ltd</t>
  </si>
  <si>
    <t>WEN Holdings Ltd</t>
  </si>
  <si>
    <t>Cyber</t>
  </si>
  <si>
    <t>Boiler &amp; Machinery Breakdown</t>
  </si>
  <si>
    <t>Hydroelectric Power Station</t>
  </si>
  <si>
    <t>Cargo &amp; Hull Cover</t>
  </si>
  <si>
    <t>Port Operations &amp; Vessel Transit</t>
  </si>
  <si>
    <t>Hull All Risks &amp; Liability</t>
  </si>
  <si>
    <t>Regional Flight Operations</t>
  </si>
  <si>
    <t>Group Life Assurance</t>
  </si>
  <si>
    <t>Employee Group Policy</t>
  </si>
  <si>
    <t>Medical &amp; Wellness Cover</t>
  </si>
  <si>
    <t>Corporate Staff Health Scheme</t>
  </si>
  <si>
    <t>Comprehensive Motor Fleet</t>
  </si>
  <si>
    <t>Company Vehicle Operations</t>
  </si>
  <si>
    <t>Cyber Liability &amp; Data Protection</t>
  </si>
  <si>
    <t>Cloud Infrastructure Risk</t>
  </si>
  <si>
    <t>General Liability &amp; Indemnity</t>
  </si>
  <si>
    <t>Manufacturing Plant</t>
  </si>
  <si>
    <t>Fire &amp; Industrial All Risks</t>
  </si>
  <si>
    <t>Industrial Complex &amp; Warehouse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</si>
</sst>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2" formatCode="0.000%"/>
    <numFmt numFmtId="173" formatCode="_([$KES]\ * #,##0.00_);_([$KES]\ * \(#,##0.00\);_([$KES]\ * &quot;-&quot;??_);_(@_)"/>
    <numFmt numFmtId="174" formatCode="_([$$-409]* #,##0.00_);_([$$-409]* \(#,##0.00\);_([$$-409]* &quot;-&quot;??_);_(@_)"/>
  </numFmts>
  <fonts count="35" x14ac:knownFonts="1">
    <font>
      <sz val="10"/>
      <color theme="1"/>
      <name val="Arial"/>
      <family val="2"/>
    </font>
    <font>
      <sz val="11"/>
      <color theme="1"/>
      <name val="Calibri"/>
      <family val="2"/>
      <scheme val="minor"/>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b/>
      <sz val="9"/>
      <color indexed="81"/>
      <name val="Tahoma"/>
      <family val="2"/>
    </font>
    <font>
      <sz val="10"/>
      <color theme="0" tint="-0.14999847407452621"/>
      <name val="Arial"/>
      <family val="2"/>
    </font>
    <font>
      <sz val="10"/>
      <color theme="0" tint="-4.9989318521683403E-2"/>
      <name val="Arial"/>
      <family val="2"/>
    </font>
    <font>
      <sz val="11"/>
      <color theme="3"/>
      <name val="Arial"/>
      <family val="2"/>
    </font>
  </fonts>
  <fills count="18">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
      <patternFill patternType="solid">
        <fgColor theme="0" tint="-0.249977111117893"/>
        <bgColor indexed="64"/>
      </patternFill>
    </fill>
  </fills>
  <borders count="150">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
      <left style="medium">
        <color rgb="FF002060"/>
      </left>
      <right/>
      <top style="thin">
        <color indexed="64"/>
      </top>
      <bottom/>
      <diagonal/>
    </border>
  </borders>
  <cellStyleXfs count="21">
    <xf numFmtId="0" fontId="0" fillId="0" borderId="0"/>
    <xf numFmtId="0" fontId="4" fillId="0" borderId="0"/>
    <xf numFmtId="165" fontId="4" fillId="0" borderId="0" applyFont="0" applyFill="0" applyBorder="0" applyAlignment="0" applyProtection="0"/>
    <xf numFmtId="37" fontId="5" fillId="0" borderId="0"/>
    <xf numFmtId="0" fontId="6" fillId="0" borderId="0"/>
    <xf numFmtId="9" fontId="6" fillId="0" borderId="0" applyFont="0" applyFill="0" applyBorder="0" applyAlignment="0" applyProtection="0"/>
    <xf numFmtId="165" fontId="6" fillId="0" borderId="0" applyFont="0" applyFill="0" applyBorder="0" applyAlignment="0" applyProtection="0"/>
    <xf numFmtId="0" fontId="4" fillId="0" borderId="0"/>
    <xf numFmtId="9" fontId="4" fillId="0" borderId="0" applyFont="0" applyFill="0" applyBorder="0" applyAlignment="0" applyProtection="0"/>
    <xf numFmtId="0" fontId="12" fillId="0" borderId="0" applyNumberFormat="0" applyFill="0" applyBorder="0" applyAlignment="0" applyProtection="0"/>
    <xf numFmtId="164" fontId="14" fillId="0" borderId="0" applyFont="0" applyFill="0" applyBorder="0" applyAlignment="0" applyProtection="0"/>
    <xf numFmtId="0" fontId="15" fillId="0" borderId="0" applyNumberFormat="0" applyFill="0" applyBorder="0" applyAlignment="0" applyProtection="0"/>
    <xf numFmtId="9" fontId="14" fillId="0" borderId="0" applyFont="0" applyFill="0" applyBorder="0" applyAlignment="0" applyProtection="0"/>
    <xf numFmtId="0" fontId="20" fillId="0" borderId="0" applyNumberFormat="0" applyFill="0" applyBorder="0" applyAlignment="0" applyProtection="0"/>
    <xf numFmtId="0" fontId="3" fillId="12" borderId="0" applyNumberFormat="0" applyBorder="0" applyAlignment="0" applyProtection="0"/>
    <xf numFmtId="0" fontId="14" fillId="13" borderId="0" applyNumberFormat="0" applyBorder="0" applyAlignment="0" applyProtection="0"/>
    <xf numFmtId="0" fontId="26" fillId="0" borderId="0"/>
    <xf numFmtId="0" fontId="28" fillId="11" borderId="130" applyNumberFormat="0" applyAlignment="0" applyProtection="0"/>
    <xf numFmtId="164" fontId="14" fillId="0" borderId="0" applyFont="0" applyFill="0" applyBorder="0" applyAlignment="0" applyProtection="0"/>
    <xf numFmtId="0" fontId="15" fillId="0" borderId="142" applyNumberFormat="0" applyFill="0" applyAlignment="0" applyProtection="0"/>
    <xf numFmtId="0" fontId="1" fillId="0" borderId="0"/>
  </cellStyleXfs>
  <cellXfs count="556">
    <xf numFmtId="0" fontId="0" fillId="0" borderId="0" xfId="0"/>
    <xf numFmtId="0" fontId="0" fillId="2" borderId="0" xfId="0" applyFill="1" applyAlignment="1">
      <alignment vertical="center"/>
    </xf>
    <xf numFmtId="0" fontId="0" fillId="2" borderId="0" xfId="0" applyFill="1"/>
    <xf numFmtId="0" fontId="9"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9" fillId="4" borderId="1" xfId="0" applyFont="1" applyFill="1" applyBorder="1"/>
    <xf numFmtId="0" fontId="3" fillId="3" borderId="45" xfId="0" applyFont="1" applyFill="1" applyBorder="1"/>
    <xf numFmtId="0" fontId="3" fillId="3" borderId="46" xfId="0" applyFont="1" applyFill="1" applyBorder="1" applyAlignment="1">
      <alignment horizontal="left"/>
    </xf>
    <xf numFmtId="0" fontId="3" fillId="3" borderId="46" xfId="0" applyFont="1" applyFill="1" applyBorder="1"/>
    <xf numFmtId="0" fontId="3" fillId="3" borderId="47" xfId="0" applyFont="1" applyFill="1" applyBorder="1"/>
    <xf numFmtId="0" fontId="3" fillId="3" borderId="48" xfId="0" applyFont="1" applyFill="1" applyBorder="1"/>
    <xf numFmtId="0" fontId="3" fillId="3" borderId="50" xfId="0" applyFont="1" applyFill="1" applyBorder="1"/>
    <xf numFmtId="0" fontId="3" fillId="3" borderId="51" xfId="0" applyFont="1" applyFill="1" applyBorder="1"/>
    <xf numFmtId="0" fontId="3" fillId="3" borderId="39" xfId="7" applyFont="1" applyFill="1" applyBorder="1" applyAlignment="1">
      <alignment vertical="center" wrapText="1"/>
    </xf>
    <xf numFmtId="0" fontId="3" fillId="3" borderId="40" xfId="7" applyFont="1" applyFill="1" applyBorder="1" applyAlignment="1">
      <alignment horizontal="center" vertical="center" wrapText="1"/>
    </xf>
    <xf numFmtId="0" fontId="4" fillId="4" borderId="6" xfId="7" applyFill="1" applyBorder="1" applyAlignment="1">
      <alignment vertical="top" wrapText="1"/>
    </xf>
    <xf numFmtId="0" fontId="4" fillId="4" borderId="7" xfId="7" applyFill="1" applyBorder="1" applyAlignment="1">
      <alignment vertical="top" wrapText="1"/>
    </xf>
    <xf numFmtId="0" fontId="4" fillId="4" borderId="5" xfId="7" applyFill="1" applyBorder="1" applyAlignment="1">
      <alignment vertical="top" wrapText="1"/>
    </xf>
    <xf numFmtId="0" fontId="3" fillId="3" borderId="52" xfId="7" applyFont="1" applyFill="1" applyBorder="1" applyAlignment="1">
      <alignment horizontal="center" vertical="center" wrapText="1"/>
    </xf>
    <xf numFmtId="0" fontId="3" fillId="3" borderId="49" xfId="7" applyFont="1" applyFill="1" applyBorder="1" applyAlignment="1">
      <alignment vertical="top" wrapText="1"/>
    </xf>
    <xf numFmtId="0" fontId="4" fillId="2" borderId="31" xfId="7" applyFill="1" applyBorder="1" applyAlignment="1">
      <alignment vertical="top" wrapText="1"/>
    </xf>
    <xf numFmtId="0" fontId="3" fillId="3" borderId="51" xfId="7" applyFont="1" applyFill="1" applyBorder="1" applyAlignment="1">
      <alignment vertical="top" wrapText="1"/>
    </xf>
    <xf numFmtId="2" fontId="4" fillId="2" borderId="34" xfId="8" applyNumberFormat="1" applyFont="1" applyFill="1" applyBorder="1" applyAlignment="1">
      <alignment vertical="top" wrapText="1"/>
    </xf>
    <xf numFmtId="2" fontId="4" fillId="2" borderId="16" xfId="8" applyNumberFormat="1" applyFont="1" applyFill="1" applyBorder="1" applyAlignment="1">
      <alignment vertical="top" wrapText="1"/>
    </xf>
    <xf numFmtId="2" fontId="4" fillId="2" borderId="35" xfId="8" applyNumberFormat="1" applyFont="1" applyFill="1" applyBorder="1" applyAlignment="1">
      <alignment vertical="top" wrapText="1"/>
    </xf>
    <xf numFmtId="0" fontId="4" fillId="4" borderId="18" xfId="0" applyFont="1" applyFill="1" applyBorder="1" applyAlignment="1">
      <alignment vertical="center"/>
    </xf>
    <xf numFmtId="0" fontId="4" fillId="4" borderId="0" xfId="0" applyFont="1" applyFill="1"/>
    <xf numFmtId="0" fontId="4" fillId="4" borderId="0" xfId="0" applyFont="1" applyFill="1" applyAlignment="1">
      <alignment vertical="center"/>
    </xf>
    <xf numFmtId="0" fontId="4" fillId="4" borderId="20" xfId="0" applyFont="1" applyFill="1" applyBorder="1" applyAlignment="1">
      <alignment vertical="center"/>
    </xf>
    <xf numFmtId="0" fontId="4" fillId="4" borderId="1" xfId="0" applyFont="1" applyFill="1" applyBorder="1"/>
    <xf numFmtId="0" fontId="9" fillId="4" borderId="57" xfId="7" applyFont="1" applyFill="1" applyBorder="1" applyAlignment="1">
      <alignment vertical="center" wrapText="1"/>
    </xf>
    <xf numFmtId="0" fontId="9" fillId="4" borderId="58" xfId="7" applyFont="1" applyFill="1" applyBorder="1" applyAlignment="1">
      <alignment horizontal="center" vertical="center" wrapText="1"/>
    </xf>
    <xf numFmtId="0" fontId="9" fillId="4" borderId="52" xfId="7" applyFont="1" applyFill="1" applyBorder="1" applyAlignment="1">
      <alignment horizontal="center" vertical="center" wrapText="1"/>
    </xf>
    <xf numFmtId="0" fontId="9" fillId="4" borderId="55" xfId="7" applyFont="1" applyFill="1" applyBorder="1" applyAlignment="1">
      <alignment horizontal="center" vertical="center" wrapText="1"/>
    </xf>
    <xf numFmtId="0" fontId="4" fillId="4" borderId="20" xfId="0" applyFont="1" applyFill="1" applyBorder="1"/>
    <xf numFmtId="0" fontId="9" fillId="4" borderId="49" xfId="7" applyFont="1" applyFill="1" applyBorder="1" applyAlignment="1">
      <alignment vertical="top" wrapText="1"/>
    </xf>
    <xf numFmtId="166" fontId="4" fillId="4" borderId="2" xfId="8" applyNumberFormat="1" applyFont="1" applyFill="1" applyBorder="1" applyAlignment="1">
      <alignment vertical="top" wrapText="1"/>
    </xf>
    <xf numFmtId="166" fontId="4" fillId="4" borderId="5" xfId="8" applyNumberFormat="1" applyFont="1" applyFill="1" applyBorder="1" applyAlignment="1">
      <alignment vertical="top" wrapText="1"/>
    </xf>
    <xf numFmtId="0" fontId="4" fillId="4" borderId="31" xfId="0" applyFont="1" applyFill="1" applyBorder="1"/>
    <xf numFmtId="0" fontId="4" fillId="4" borderId="51" xfId="0" applyFont="1" applyFill="1" applyBorder="1"/>
    <xf numFmtId="2" fontId="4" fillId="4" borderId="34" xfId="0" applyNumberFormat="1" applyFont="1" applyFill="1" applyBorder="1"/>
    <xf numFmtId="2" fontId="4" fillId="4" borderId="16" xfId="0" applyNumberFormat="1" applyFont="1" applyFill="1" applyBorder="1"/>
    <xf numFmtId="2" fontId="4" fillId="4" borderId="35" xfId="0" applyNumberFormat="1" applyFont="1" applyFill="1" applyBorder="1"/>
    <xf numFmtId="0" fontId="3" fillId="3" borderId="52" xfId="0" applyFont="1" applyFill="1" applyBorder="1" applyAlignment="1">
      <alignment horizontal="center" vertical="center"/>
    </xf>
    <xf numFmtId="0" fontId="3" fillId="3" borderId="52" xfId="0" applyFont="1" applyFill="1" applyBorder="1" applyAlignment="1">
      <alignment horizontal="center" vertical="center" wrapText="1"/>
    </xf>
    <xf numFmtId="0" fontId="3" fillId="3" borderId="55" xfId="0" applyFont="1" applyFill="1" applyBorder="1" applyAlignment="1">
      <alignment horizontal="center" vertical="center" wrapText="1"/>
    </xf>
    <xf numFmtId="0" fontId="4" fillId="4" borderId="18" xfId="0" applyFont="1" applyFill="1" applyBorder="1"/>
    <xf numFmtId="0" fontId="4" fillId="4" borderId="22" xfId="0" applyFont="1" applyFill="1" applyBorder="1"/>
    <xf numFmtId="0" fontId="3" fillId="3" borderId="56" xfId="0" applyFont="1" applyFill="1" applyBorder="1" applyAlignment="1">
      <alignment horizontal="center"/>
    </xf>
    <xf numFmtId="0" fontId="3" fillId="3" borderId="52" xfId="0" applyFont="1" applyFill="1" applyBorder="1" applyAlignment="1">
      <alignment horizontal="center"/>
    </xf>
    <xf numFmtId="0" fontId="3" fillId="3" borderId="55" xfId="0" applyFont="1" applyFill="1" applyBorder="1" applyAlignment="1">
      <alignment horizontal="center"/>
    </xf>
    <xf numFmtId="10" fontId="4" fillId="2" borderId="35" xfId="0" applyNumberFormat="1" applyFont="1" applyFill="1" applyBorder="1"/>
    <xf numFmtId="4" fontId="4" fillId="4" borderId="70" xfId="0" applyNumberFormat="1" applyFont="1" applyFill="1" applyBorder="1" applyProtection="1">
      <protection locked="0"/>
    </xf>
    <xf numFmtId="4" fontId="4" fillId="4" borderId="43" xfId="0" applyNumberFormat="1" applyFont="1" applyFill="1" applyBorder="1" applyProtection="1">
      <protection locked="0"/>
    </xf>
    <xf numFmtId="4" fontId="4" fillId="4" borderId="49" xfId="0" applyNumberFormat="1" applyFont="1" applyFill="1" applyBorder="1" applyProtection="1">
      <protection locked="0"/>
    </xf>
    <xf numFmtId="4" fontId="4" fillId="2" borderId="50" xfId="0" applyNumberFormat="1" applyFont="1" applyFill="1" applyBorder="1"/>
    <xf numFmtId="10" fontId="4" fillId="2" borderId="50" xfId="0" applyNumberFormat="1" applyFont="1" applyFill="1" applyBorder="1"/>
    <xf numFmtId="10" fontId="4" fillId="2" borderId="51" xfId="0" applyNumberFormat="1" applyFont="1" applyFill="1" applyBorder="1"/>
    <xf numFmtId="0" fontId="3" fillId="3" borderId="26" xfId="0" applyFont="1" applyFill="1" applyBorder="1"/>
    <xf numFmtId="0" fontId="3" fillId="3" borderId="27" xfId="0" applyFont="1" applyFill="1" applyBorder="1"/>
    <xf numFmtId="0" fontId="3" fillId="3" borderId="25" xfId="0" applyFont="1" applyFill="1" applyBorder="1"/>
    <xf numFmtId="14" fontId="4" fillId="4" borderId="72" xfId="0" applyNumberFormat="1" applyFont="1" applyFill="1" applyBorder="1" applyProtection="1">
      <protection locked="0"/>
    </xf>
    <xf numFmtId="49" fontId="4" fillId="4" borderId="73" xfId="0" applyNumberFormat="1" applyFont="1" applyFill="1" applyBorder="1" applyAlignment="1" applyProtection="1">
      <alignment wrapText="1"/>
      <protection locked="0"/>
    </xf>
    <xf numFmtId="0" fontId="4" fillId="4" borderId="66" xfId="0" applyFont="1" applyFill="1" applyBorder="1" applyAlignment="1">
      <alignment horizontal="center" vertical="center"/>
    </xf>
    <xf numFmtId="14" fontId="4" fillId="4" borderId="64" xfId="0" applyNumberFormat="1" applyFont="1" applyFill="1" applyBorder="1" applyProtection="1">
      <protection locked="0"/>
    </xf>
    <xf numFmtId="49" fontId="4" fillId="4" borderId="65" xfId="0" applyNumberFormat="1" applyFont="1" applyFill="1" applyBorder="1" applyAlignment="1" applyProtection="1">
      <alignment wrapText="1"/>
      <protection locked="0"/>
    </xf>
    <xf numFmtId="0" fontId="4" fillId="4" borderId="32" xfId="0" applyFont="1" applyFill="1" applyBorder="1" applyAlignment="1">
      <alignment horizontal="center" vertical="center"/>
    </xf>
    <xf numFmtId="14" fontId="4" fillId="4" borderId="7" xfId="0" applyNumberFormat="1" applyFont="1" applyFill="1" applyBorder="1" applyProtection="1">
      <protection locked="0"/>
    </xf>
    <xf numFmtId="49" fontId="4" fillId="4" borderId="33" xfId="0" applyNumberFormat="1" applyFont="1" applyFill="1" applyBorder="1" applyAlignment="1" applyProtection="1">
      <alignment wrapText="1"/>
      <protection locked="0"/>
    </xf>
    <xf numFmtId="14" fontId="4" fillId="4" borderId="68" xfId="0" applyNumberFormat="1" applyFont="1" applyFill="1" applyBorder="1" applyProtection="1">
      <protection locked="0"/>
    </xf>
    <xf numFmtId="49" fontId="4" fillId="4" borderId="69" xfId="0" applyNumberFormat="1" applyFont="1" applyFill="1" applyBorder="1" applyAlignment="1" applyProtection="1">
      <alignment wrapText="1"/>
      <protection locked="0"/>
    </xf>
    <xf numFmtId="0" fontId="4" fillId="4" borderId="77" xfId="0" applyFont="1" applyFill="1" applyBorder="1" applyAlignment="1">
      <alignment horizontal="center" vertical="center"/>
    </xf>
    <xf numFmtId="0" fontId="4" fillId="4" borderId="79" xfId="0" applyFont="1" applyFill="1" applyBorder="1" applyAlignment="1">
      <alignment horizontal="center" vertical="center"/>
    </xf>
    <xf numFmtId="0" fontId="4" fillId="4" borderId="81" xfId="0" applyFont="1" applyFill="1" applyBorder="1" applyAlignment="1">
      <alignment horizontal="center" vertical="center"/>
    </xf>
    <xf numFmtId="0" fontId="4" fillId="4" borderId="83" xfId="0" applyFont="1" applyFill="1" applyBorder="1" applyAlignment="1">
      <alignment horizontal="center" vertical="center"/>
    </xf>
    <xf numFmtId="0" fontId="4" fillId="4" borderId="21" xfId="0" applyFont="1" applyFill="1" applyBorder="1" applyAlignment="1">
      <alignment horizontal="center" vertical="center"/>
    </xf>
    <xf numFmtId="14" fontId="4" fillId="4" borderId="60" xfId="0" applyNumberFormat="1" applyFont="1" applyFill="1" applyBorder="1" applyProtection="1">
      <protection locked="0"/>
    </xf>
    <xf numFmtId="49" fontId="4" fillId="4" borderId="61" xfId="0" applyNumberFormat="1" applyFont="1" applyFill="1" applyBorder="1" applyAlignment="1" applyProtection="1">
      <alignment wrapText="1"/>
      <protection locked="0"/>
    </xf>
    <xf numFmtId="0" fontId="9" fillId="4" borderId="17" xfId="0" applyFont="1" applyFill="1" applyBorder="1"/>
    <xf numFmtId="0" fontId="4" fillId="4" borderId="19" xfId="0" applyFont="1" applyFill="1" applyBorder="1"/>
    <xf numFmtId="0" fontId="4" fillId="4" borderId="21" xfId="0" applyFont="1" applyFill="1" applyBorder="1"/>
    <xf numFmtId="0" fontId="4" fillId="4" borderId="23" xfId="0" applyFont="1" applyFill="1" applyBorder="1"/>
    <xf numFmtId="0" fontId="3" fillId="3" borderId="86" xfId="0" applyFont="1" applyFill="1" applyBorder="1" applyAlignment="1">
      <alignment vertical="top" wrapText="1"/>
    </xf>
    <xf numFmtId="0" fontId="3" fillId="3" borderId="88" xfId="0" applyFont="1" applyFill="1" applyBorder="1" applyAlignment="1">
      <alignment vertical="top" wrapText="1"/>
    </xf>
    <xf numFmtId="0" fontId="4" fillId="4" borderId="79" xfId="0" applyFont="1" applyFill="1" applyBorder="1" applyAlignment="1">
      <alignment horizontal="left" vertical="top" wrapText="1"/>
    </xf>
    <xf numFmtId="0" fontId="3" fillId="3" borderId="90" xfId="0" applyFont="1" applyFill="1" applyBorder="1" applyAlignment="1">
      <alignment vertical="top" wrapText="1"/>
    </xf>
    <xf numFmtId="0" fontId="4" fillId="4" borderId="91" xfId="0" applyFont="1" applyFill="1" applyBorder="1" applyAlignment="1">
      <alignment horizontal="left" vertical="top" wrapText="1"/>
    </xf>
    <xf numFmtId="0" fontId="3" fillId="3" borderId="57" xfId="0" applyFont="1" applyFill="1" applyBorder="1" applyAlignment="1">
      <alignment horizontal="left" vertical="top" wrapText="1"/>
    </xf>
    <xf numFmtId="0" fontId="4" fillId="2" borderId="34" xfId="0" applyFont="1" applyFill="1" applyBorder="1" applyAlignment="1">
      <alignment vertical="top" wrapText="1"/>
    </xf>
    <xf numFmtId="0" fontId="4" fillId="0" borderId="72" xfId="7" applyBorder="1" applyAlignment="1">
      <alignment vertical="top"/>
    </xf>
    <xf numFmtId="0" fontId="4" fillId="0" borderId="7" xfId="7" applyBorder="1" applyAlignment="1">
      <alignment vertical="top"/>
    </xf>
    <xf numFmtId="0" fontId="4"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4" fillId="4" borderId="94" xfId="0" applyNumberFormat="1" applyFont="1" applyFill="1" applyBorder="1" applyProtection="1">
      <protection locked="0"/>
    </xf>
    <xf numFmtId="14" fontId="4" fillId="4" borderId="87" xfId="0" applyNumberFormat="1" applyFont="1" applyFill="1" applyBorder="1" applyProtection="1">
      <protection locked="0"/>
    </xf>
    <xf numFmtId="14" fontId="4" fillId="4" borderId="89" xfId="0" applyNumberFormat="1" applyFont="1" applyFill="1" applyBorder="1" applyProtection="1">
      <protection locked="0"/>
    </xf>
    <xf numFmtId="14" fontId="4" fillId="4" borderId="95" xfId="0" applyNumberFormat="1" applyFont="1" applyFill="1" applyBorder="1" applyProtection="1">
      <protection locked="0"/>
    </xf>
    <xf numFmtId="14" fontId="4" fillId="4" borderId="71" xfId="0" applyNumberFormat="1" applyFont="1" applyFill="1" applyBorder="1" applyProtection="1">
      <protection locked="0"/>
    </xf>
    <xf numFmtId="0" fontId="3" fillId="3" borderId="56" xfId="0" applyFont="1" applyFill="1" applyBorder="1" applyAlignment="1">
      <alignment horizontal="center" vertical="center" wrapText="1"/>
    </xf>
    <xf numFmtId="0" fontId="3" fillId="3" borderId="58" xfId="0" applyFont="1" applyFill="1" applyBorder="1" applyAlignment="1">
      <alignment horizontal="center"/>
    </xf>
    <xf numFmtId="0" fontId="4" fillId="4" borderId="77" xfId="0" applyFont="1" applyFill="1" applyBorder="1" applyAlignment="1">
      <alignment horizontal="center" vertical="top" wrapText="1"/>
    </xf>
    <xf numFmtId="0" fontId="3" fillId="3" borderId="39" xfId="0" applyFont="1" applyFill="1" applyBorder="1" applyAlignment="1">
      <alignment horizontal="center" vertical="center" wrapText="1"/>
    </xf>
    <xf numFmtId="0" fontId="4"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7" fillId="6" borderId="0" xfId="3" applyFont="1" applyFill="1" applyAlignment="1">
      <alignment horizontal="center"/>
    </xf>
    <xf numFmtId="0" fontId="11" fillId="6" borderId="0" xfId="0" applyFont="1" applyFill="1" applyAlignment="1">
      <alignment horizontal="right" vertical="center"/>
    </xf>
    <xf numFmtId="0" fontId="3" fillId="6" borderId="0" xfId="0" applyFont="1" applyFill="1" applyAlignment="1">
      <alignment vertical="center"/>
    </xf>
    <xf numFmtId="0" fontId="4" fillId="6" borderId="0" xfId="0" applyFont="1" applyFill="1"/>
    <xf numFmtId="10" fontId="4" fillId="6" borderId="0" xfId="0" applyNumberFormat="1" applyFont="1" applyFill="1"/>
    <xf numFmtId="0" fontId="3" fillId="6" borderId="0" xfId="0" applyFont="1" applyFill="1"/>
    <xf numFmtId="0" fontId="0" fillId="6" borderId="0" xfId="0" applyFill="1" applyAlignment="1">
      <alignment horizontal="center"/>
    </xf>
    <xf numFmtId="0" fontId="9" fillId="6" borderId="0" xfId="0" applyFont="1" applyFill="1" applyAlignment="1">
      <alignment vertical="center"/>
    </xf>
    <xf numFmtId="0" fontId="3"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3" fillId="3" borderId="24" xfId="0" applyFont="1" applyFill="1" applyBorder="1" applyAlignment="1">
      <alignment horizontal="center" vertical="center"/>
    </xf>
    <xf numFmtId="0" fontId="3" fillId="3" borderId="14" xfId="0" applyFont="1" applyFill="1" applyBorder="1" applyAlignment="1">
      <alignment horizontal="center"/>
    </xf>
    <xf numFmtId="0" fontId="3"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4" fillId="6" borderId="0" xfId="0" applyNumberFormat="1" applyFont="1" applyFill="1"/>
    <xf numFmtId="4" fontId="4" fillId="6" borderId="0" xfId="0" applyNumberFormat="1" applyFont="1" applyFill="1" applyProtection="1">
      <protection locked="0"/>
    </xf>
    <xf numFmtId="0" fontId="3" fillId="3" borderId="47" xfId="0" applyFont="1" applyFill="1" applyBorder="1" applyAlignment="1">
      <alignment horizontal="center"/>
    </xf>
    <xf numFmtId="0" fontId="3" fillId="6" borderId="0" xfId="0" applyFont="1" applyFill="1" applyAlignment="1">
      <alignment horizontal="center"/>
    </xf>
    <xf numFmtId="0" fontId="3" fillId="6" borderId="0" xfId="0" applyFont="1" applyFill="1" applyAlignment="1">
      <alignment horizontal="left"/>
    </xf>
    <xf numFmtId="0" fontId="3" fillId="3" borderId="39" xfId="0" applyFont="1" applyFill="1" applyBorder="1"/>
    <xf numFmtId="0" fontId="3" fillId="3" borderId="14" xfId="0" applyFont="1" applyFill="1" applyBorder="1"/>
    <xf numFmtId="0" fontId="3" fillId="3" borderId="15" xfId="0" applyFont="1" applyFill="1" applyBorder="1"/>
    <xf numFmtId="10" fontId="4" fillId="2" borderId="69" xfId="0" applyNumberFormat="1" applyFont="1" applyFill="1" applyBorder="1"/>
    <xf numFmtId="10" fontId="4" fillId="2" borderId="9" xfId="0" applyNumberFormat="1" applyFont="1" applyFill="1" applyBorder="1"/>
    <xf numFmtId="2" fontId="4" fillId="2" borderId="74" xfId="0" applyNumberFormat="1" applyFont="1" applyFill="1" applyBorder="1" applyProtection="1">
      <protection locked="0"/>
    </xf>
    <xf numFmtId="2" fontId="4" fillId="2" borderId="72" xfId="0" applyNumberFormat="1" applyFont="1" applyFill="1" applyBorder="1" applyProtection="1">
      <protection locked="0"/>
    </xf>
    <xf numFmtId="2" fontId="4" fillId="2" borderId="35" xfId="0" applyNumberFormat="1" applyFont="1" applyFill="1" applyBorder="1"/>
    <xf numFmtId="2" fontId="4" fillId="2" borderId="9" xfId="0" applyNumberFormat="1" applyFont="1" applyFill="1" applyBorder="1" applyProtection="1">
      <protection locked="0"/>
    </xf>
    <xf numFmtId="2" fontId="4" fillId="2" borderId="7" xfId="0" applyNumberFormat="1" applyFont="1" applyFill="1" applyBorder="1" applyProtection="1">
      <protection locked="0"/>
    </xf>
    <xf numFmtId="2" fontId="4" fillId="2" borderId="69" xfId="0" applyNumberFormat="1" applyFont="1" applyFill="1" applyBorder="1"/>
    <xf numFmtId="2" fontId="4" fillId="2" borderId="9" xfId="0" applyNumberFormat="1" applyFont="1" applyFill="1" applyBorder="1"/>
    <xf numFmtId="2" fontId="4" fillId="2" borderId="7" xfId="0" applyNumberFormat="1" applyFont="1" applyFill="1" applyBorder="1"/>
    <xf numFmtId="10" fontId="4" fillId="2" borderId="74" xfId="0" applyNumberFormat="1" applyFont="1" applyFill="1" applyBorder="1" applyProtection="1">
      <protection locked="0"/>
    </xf>
    <xf numFmtId="10" fontId="4" fillId="2" borderId="72" xfId="0" applyNumberFormat="1" applyFont="1" applyFill="1" applyBorder="1" applyProtection="1">
      <protection locked="0"/>
    </xf>
    <xf numFmtId="10" fontId="4" fillId="2" borderId="9" xfId="0" applyNumberFormat="1" applyFont="1" applyFill="1" applyBorder="1" applyProtection="1">
      <protection locked="0"/>
    </xf>
    <xf numFmtId="10" fontId="4" fillId="2" borderId="7" xfId="0" applyNumberFormat="1" applyFont="1" applyFill="1" applyBorder="1" applyProtection="1">
      <protection locked="0"/>
    </xf>
    <xf numFmtId="10" fontId="4" fillId="2" borderId="7" xfId="0" applyNumberFormat="1" applyFont="1" applyFill="1" applyBorder="1"/>
    <xf numFmtId="2" fontId="4" fillId="4" borderId="74" xfId="0" applyNumberFormat="1" applyFont="1" applyFill="1" applyBorder="1" applyProtection="1">
      <protection locked="0"/>
    </xf>
    <xf numFmtId="2" fontId="4" fillId="4" borderId="72" xfId="0" applyNumberFormat="1" applyFont="1" applyFill="1" applyBorder="1" applyProtection="1">
      <protection locked="0"/>
    </xf>
    <xf numFmtId="2" fontId="4" fillId="4" borderId="9" xfId="0" applyNumberFormat="1" applyFont="1" applyFill="1" applyBorder="1" applyProtection="1">
      <protection locked="0"/>
    </xf>
    <xf numFmtId="2" fontId="4" fillId="4" borderId="7" xfId="0" applyNumberFormat="1" applyFont="1" applyFill="1" applyBorder="1" applyProtection="1">
      <protection locked="0"/>
    </xf>
    <xf numFmtId="2" fontId="4" fillId="4" borderId="69" xfId="0" applyNumberFormat="1" applyFont="1" applyFill="1" applyBorder="1"/>
    <xf numFmtId="2" fontId="4" fillId="6" borderId="0" xfId="0" applyNumberFormat="1" applyFont="1" applyFill="1" applyProtection="1">
      <protection locked="0"/>
    </xf>
    <xf numFmtId="2" fontId="4" fillId="4" borderId="9" xfId="0" applyNumberFormat="1" applyFont="1" applyFill="1" applyBorder="1"/>
    <xf numFmtId="2" fontId="4" fillId="4" borderId="7" xfId="0" applyNumberFormat="1" applyFont="1" applyFill="1" applyBorder="1"/>
    <xf numFmtId="2" fontId="4"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10" fillId="6" borderId="0" xfId="0" applyFont="1" applyFill="1" applyAlignment="1">
      <alignment vertical="center"/>
    </xf>
    <xf numFmtId="0" fontId="13" fillId="7" borderId="57" xfId="9" applyFont="1" applyFill="1" applyBorder="1" applyAlignment="1" applyProtection="1">
      <alignment horizontal="center" vertical="center"/>
    </xf>
    <xf numFmtId="0" fontId="4"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2" fillId="0" borderId="42" xfId="0" applyFont="1" applyBorder="1" applyAlignment="1">
      <alignment vertical="center"/>
    </xf>
    <xf numFmtId="0" fontId="0" fillId="0" borderId="40" xfId="0" applyBorder="1" applyAlignment="1">
      <alignment horizontal="center" vertical="center"/>
    </xf>
    <xf numFmtId="0" fontId="2" fillId="0" borderId="0" xfId="0" applyFont="1"/>
    <xf numFmtId="0" fontId="11"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1" fillId="6" borderId="0" xfId="0" applyFont="1" applyFill="1" applyAlignment="1">
      <alignment horizontal="left" vertical="top"/>
    </xf>
    <xf numFmtId="0" fontId="12" fillId="0" borderId="10" xfId="9" quotePrefix="1" applyFill="1" applyBorder="1" applyAlignment="1">
      <alignment horizontal="center" vertical="center" wrapText="1"/>
    </xf>
    <xf numFmtId="0" fontId="12"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2" fillId="0" borderId="40" xfId="9" quotePrefix="1" applyFill="1" applyBorder="1" applyAlignment="1">
      <alignment horizontal="center" vertical="center" wrapText="1"/>
    </xf>
    <xf numFmtId="0" fontId="4" fillId="4" borderId="100" xfId="7" applyFill="1" applyBorder="1" applyAlignment="1">
      <alignment vertical="top" wrapText="1"/>
    </xf>
    <xf numFmtId="0" fontId="4" fillId="4" borderId="32" xfId="7" applyFill="1" applyBorder="1" applyAlignment="1">
      <alignment vertical="top" wrapText="1"/>
    </xf>
    <xf numFmtId="0" fontId="3" fillId="3" borderId="39" xfId="7" applyFont="1" applyFill="1" applyBorder="1" applyAlignment="1">
      <alignment horizontal="center" vertical="center" wrapText="1"/>
    </xf>
    <xf numFmtId="0" fontId="4" fillId="0" borderId="7" xfId="0" applyFont="1" applyBorder="1"/>
    <xf numFmtId="0" fontId="4" fillId="0" borderId="33" xfId="0" applyFont="1" applyBorder="1"/>
    <xf numFmtId="0" fontId="4" fillId="0" borderId="68" xfId="0" applyFont="1" applyBorder="1"/>
    <xf numFmtId="0" fontId="4" fillId="0" borderId="69" xfId="0" applyFont="1" applyBorder="1"/>
    <xf numFmtId="3" fontId="4" fillId="4" borderId="74" xfId="0" applyNumberFormat="1" applyFont="1" applyFill="1" applyBorder="1" applyProtection="1">
      <protection locked="0"/>
    </xf>
    <xf numFmtId="3" fontId="4" fillId="4" borderId="72" xfId="0" applyNumberFormat="1" applyFont="1" applyFill="1" applyBorder="1" applyProtection="1">
      <protection locked="0"/>
    </xf>
    <xf numFmtId="3" fontId="4" fillId="2" borderId="72" xfId="0" applyNumberFormat="1" applyFont="1" applyFill="1" applyBorder="1"/>
    <xf numFmtId="3" fontId="4" fillId="2" borderId="73" xfId="0" applyNumberFormat="1" applyFont="1" applyFill="1" applyBorder="1"/>
    <xf numFmtId="49" fontId="4" fillId="4" borderId="75" xfId="0" applyNumberFormat="1" applyFont="1" applyFill="1" applyBorder="1" applyAlignment="1" applyProtection="1">
      <alignment horizontal="center"/>
      <protection locked="0"/>
    </xf>
    <xf numFmtId="3" fontId="4" fillId="4" borderId="63" xfId="0" applyNumberFormat="1" applyFont="1" applyFill="1" applyBorder="1" applyProtection="1">
      <protection locked="0"/>
    </xf>
    <xf numFmtId="3" fontId="4" fillId="4" borderId="64" xfId="0" applyNumberFormat="1" applyFont="1" applyFill="1" applyBorder="1" applyProtection="1">
      <protection locked="0"/>
    </xf>
    <xf numFmtId="3" fontId="4" fillId="2" borderId="7" xfId="0" applyNumberFormat="1" applyFont="1" applyFill="1" applyBorder="1"/>
    <xf numFmtId="3" fontId="4" fillId="2" borderId="64" xfId="0" applyNumberFormat="1" applyFont="1" applyFill="1" applyBorder="1"/>
    <xf numFmtId="3" fontId="4" fillId="2" borderId="65" xfId="0" applyNumberFormat="1" applyFont="1" applyFill="1" applyBorder="1"/>
    <xf numFmtId="49" fontId="4" fillId="4" borderId="43" xfId="0" applyNumberFormat="1" applyFont="1" applyFill="1" applyBorder="1" applyAlignment="1" applyProtection="1">
      <alignment horizontal="center"/>
      <protection locked="0"/>
    </xf>
    <xf numFmtId="3" fontId="4" fillId="4" borderId="9" xfId="0" applyNumberFormat="1" applyFont="1" applyFill="1" applyBorder="1" applyProtection="1">
      <protection locked="0"/>
    </xf>
    <xf numFmtId="3" fontId="4" fillId="4" borderId="7" xfId="0" applyNumberFormat="1" applyFont="1" applyFill="1" applyBorder="1" applyProtection="1">
      <protection locked="0"/>
    </xf>
    <xf numFmtId="3" fontId="4" fillId="2" borderId="33" xfId="0" applyNumberFormat="1" applyFont="1" applyFill="1" applyBorder="1"/>
    <xf numFmtId="3" fontId="4" fillId="4" borderId="76" xfId="0" applyNumberFormat="1" applyFont="1" applyFill="1" applyBorder="1" applyProtection="1">
      <protection locked="0"/>
    </xf>
    <xf numFmtId="3" fontId="4" fillId="4" borderId="68" xfId="0" applyNumberFormat="1" applyFont="1" applyFill="1" applyBorder="1" applyProtection="1">
      <protection locked="0"/>
    </xf>
    <xf numFmtId="3" fontId="4" fillId="2" borderId="68" xfId="0" applyNumberFormat="1" applyFont="1" applyFill="1" applyBorder="1"/>
    <xf numFmtId="3" fontId="4" fillId="2" borderId="69" xfId="0" applyNumberFormat="1" applyFont="1" applyFill="1" applyBorder="1"/>
    <xf numFmtId="3" fontId="4" fillId="2" borderId="78" xfId="0" applyNumberFormat="1" applyFont="1" applyFill="1" applyBorder="1"/>
    <xf numFmtId="0" fontId="4" fillId="6" borderId="62" xfId="0" applyFont="1" applyFill="1" applyBorder="1"/>
    <xf numFmtId="0" fontId="4" fillId="6" borderId="78" xfId="0" applyFont="1" applyFill="1" applyBorder="1"/>
    <xf numFmtId="3" fontId="4" fillId="2" borderId="80" xfId="0" applyNumberFormat="1" applyFont="1" applyFill="1" applyBorder="1"/>
    <xf numFmtId="0" fontId="4" fillId="6" borderId="8" xfId="0" applyFont="1" applyFill="1" applyBorder="1"/>
    <xf numFmtId="0" fontId="4" fillId="6" borderId="80" xfId="0" applyFont="1" applyFill="1" applyBorder="1"/>
    <xf numFmtId="3" fontId="4" fillId="2" borderId="82" xfId="0" applyNumberFormat="1" applyFont="1" applyFill="1" applyBorder="1"/>
    <xf numFmtId="3" fontId="4" fillId="2" borderId="84" xfId="0" applyNumberFormat="1" applyFont="1" applyFill="1" applyBorder="1"/>
    <xf numFmtId="3" fontId="4" fillId="4" borderId="59" xfId="0" applyNumberFormat="1" applyFont="1" applyFill="1" applyBorder="1" applyProtection="1">
      <protection locked="0"/>
    </xf>
    <xf numFmtId="3" fontId="4" fillId="2" borderId="60" xfId="0" applyNumberFormat="1" applyFont="1" applyFill="1" applyBorder="1"/>
    <xf numFmtId="3" fontId="4" fillId="4" borderId="60" xfId="0" applyNumberFormat="1" applyFont="1" applyFill="1" applyBorder="1" applyProtection="1">
      <protection locked="0"/>
    </xf>
    <xf numFmtId="3" fontId="4" fillId="2" borderId="23" xfId="0" applyNumberFormat="1" applyFont="1" applyFill="1" applyBorder="1"/>
    <xf numFmtId="3" fontId="4" fillId="6" borderId="62" xfId="0" applyNumberFormat="1" applyFont="1" applyFill="1" applyBorder="1" applyProtection="1">
      <protection locked="0"/>
    </xf>
    <xf numFmtId="3" fontId="4" fillId="6" borderId="8" xfId="0" applyNumberFormat="1" applyFont="1" applyFill="1" applyBorder="1" applyProtection="1">
      <protection locked="0"/>
    </xf>
    <xf numFmtId="3" fontId="4" fillId="6" borderId="77" xfId="0" applyNumberFormat="1" applyFont="1" applyFill="1" applyBorder="1" applyProtection="1">
      <protection locked="0"/>
    </xf>
    <xf numFmtId="3" fontId="4" fillId="6" borderId="62" xfId="0" applyNumberFormat="1" applyFont="1" applyFill="1" applyBorder="1"/>
    <xf numFmtId="3" fontId="4" fillId="6" borderId="79" xfId="0" applyNumberFormat="1" applyFont="1" applyFill="1" applyBorder="1" applyProtection="1">
      <protection locked="0"/>
    </xf>
    <xf numFmtId="3" fontId="4" fillId="6" borderId="8" xfId="0" applyNumberFormat="1" applyFont="1" applyFill="1" applyBorder="1"/>
    <xf numFmtId="49" fontId="4" fillId="4" borderId="85" xfId="0" applyNumberFormat="1" applyFont="1" applyFill="1" applyBorder="1" applyAlignment="1" applyProtection="1">
      <alignment horizontal="center"/>
      <protection locked="0"/>
    </xf>
    <xf numFmtId="0" fontId="4" fillId="4" borderId="64" xfId="0" applyFont="1" applyFill="1" applyBorder="1" applyAlignment="1">
      <alignment horizontal="center"/>
    </xf>
    <xf numFmtId="0" fontId="4" fillId="4" borderId="7" xfId="0" applyFont="1" applyFill="1" applyBorder="1"/>
    <xf numFmtId="0" fontId="4" fillId="4" borderId="44" xfId="0" applyFont="1" applyFill="1" applyBorder="1"/>
    <xf numFmtId="0" fontId="4" fillId="0" borderId="7" xfId="0" applyFont="1" applyBorder="1" applyAlignment="1">
      <alignment horizontal="center"/>
    </xf>
    <xf numFmtId="0" fontId="4" fillId="0" borderId="68" xfId="0" applyFont="1" applyBorder="1" applyAlignment="1">
      <alignment horizontal="center"/>
    </xf>
    <xf numFmtId="0" fontId="4" fillId="4" borderId="0" xfId="0" applyFont="1" applyFill="1" applyAlignment="1">
      <alignment horizontal="center" wrapText="1"/>
    </xf>
    <xf numFmtId="0" fontId="4" fillId="4" borderId="67" xfId="0" applyFont="1" applyFill="1" applyBorder="1" applyAlignment="1">
      <alignment horizontal="center" vertical="center"/>
    </xf>
    <xf numFmtId="0" fontId="16" fillId="0" borderId="56" xfId="0" applyFont="1" applyBorder="1" applyAlignment="1">
      <alignment horizontal="center"/>
    </xf>
    <xf numFmtId="0" fontId="16" fillId="0" borderId="52" xfId="0" applyFont="1" applyBorder="1" applyAlignment="1">
      <alignment horizontal="center"/>
    </xf>
    <xf numFmtId="0" fontId="16"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2" fillId="0" borderId="47" xfId="10" applyNumberFormat="1" applyFont="1" applyBorder="1" applyAlignment="1">
      <alignment horizontal="left" readingOrder="1"/>
    </xf>
    <xf numFmtId="0" fontId="4" fillId="4" borderId="106" xfId="7" applyFill="1" applyBorder="1" applyAlignment="1">
      <alignment vertical="top" wrapText="1"/>
    </xf>
    <xf numFmtId="0" fontId="3" fillId="3" borderId="98" xfId="7" applyFont="1" applyFill="1" applyBorder="1" applyAlignment="1">
      <alignment horizontal="center" vertical="center" wrapText="1"/>
    </xf>
    <xf numFmtId="0" fontId="4" fillId="4" borderId="112" xfId="7" applyFill="1" applyBorder="1" applyAlignment="1">
      <alignment vertical="top" wrapText="1"/>
    </xf>
    <xf numFmtId="0" fontId="4" fillId="4" borderId="80" xfId="7" applyFill="1" applyBorder="1" applyAlignment="1">
      <alignment vertical="top" wrapText="1"/>
    </xf>
    <xf numFmtId="0" fontId="4" fillId="4" borderId="113" xfId="7" applyFill="1" applyBorder="1" applyAlignment="1">
      <alignment vertical="top" wrapText="1"/>
    </xf>
    <xf numFmtId="0" fontId="3" fillId="3" borderId="115" xfId="7" applyFont="1" applyFill="1" applyBorder="1" applyAlignment="1">
      <alignment horizontal="center" vertical="center" wrapText="1"/>
    </xf>
    <xf numFmtId="0" fontId="4" fillId="4" borderId="116" xfId="7" applyFill="1" applyBorder="1" applyAlignment="1">
      <alignment vertical="top" wrapText="1"/>
    </xf>
    <xf numFmtId="0" fontId="4" fillId="4" borderId="117" xfId="7" applyFill="1" applyBorder="1" applyAlignment="1">
      <alignment vertical="top" wrapText="1"/>
    </xf>
    <xf numFmtId="0" fontId="4" fillId="4" borderId="118" xfId="7" applyFill="1" applyBorder="1" applyAlignment="1">
      <alignment vertical="top" wrapText="1"/>
    </xf>
    <xf numFmtId="0" fontId="3" fillId="3" borderId="120" xfId="7" applyFont="1" applyFill="1" applyBorder="1" applyAlignment="1">
      <alignment horizontal="center" vertical="center" wrapText="1"/>
    </xf>
    <xf numFmtId="0" fontId="4" fillId="4" borderId="121" xfId="7" applyFill="1" applyBorder="1" applyAlignment="1">
      <alignment vertical="top" wrapText="1"/>
    </xf>
    <xf numFmtId="0" fontId="4" fillId="4" borderId="122" xfId="7" applyFill="1" applyBorder="1" applyAlignment="1">
      <alignment vertical="top" wrapText="1"/>
    </xf>
    <xf numFmtId="0" fontId="4" fillId="4" borderId="123" xfId="7" applyFill="1" applyBorder="1" applyAlignment="1">
      <alignment vertical="top" wrapText="1"/>
    </xf>
    <xf numFmtId="164" fontId="19" fillId="0" borderId="0" xfId="10" applyFont="1" applyBorder="1"/>
    <xf numFmtId="0" fontId="18" fillId="0" borderId="125" xfId="11" applyFont="1" applyBorder="1"/>
    <xf numFmtId="0" fontId="18" fillId="0" borderId="127" xfId="11" applyFont="1" applyBorder="1"/>
    <xf numFmtId="0" fontId="0" fillId="0" borderId="134" xfId="0" applyBorder="1"/>
    <xf numFmtId="9" fontId="2" fillId="0" borderId="0" xfId="12" applyFont="1" applyBorder="1"/>
    <xf numFmtId="0" fontId="0" fillId="0" borderId="135" xfId="0" applyBorder="1"/>
    <xf numFmtId="3" fontId="22" fillId="14" borderId="134" xfId="13" applyNumberFormat="1" applyFont="1" applyFill="1" applyBorder="1" applyAlignment="1">
      <alignment horizontal="center" vertical="center" wrapText="1"/>
    </xf>
    <xf numFmtId="3" fontId="22" fillId="14" borderId="0" xfId="13" applyNumberFormat="1" applyFont="1" applyFill="1" applyBorder="1" applyAlignment="1">
      <alignment horizontal="center" vertical="center" wrapText="1"/>
    </xf>
    <xf numFmtId="3" fontId="22" fillId="14" borderId="135" xfId="13" applyNumberFormat="1" applyFont="1" applyFill="1" applyBorder="1" applyAlignment="1">
      <alignment horizontal="center" vertical="center" wrapText="1"/>
    </xf>
    <xf numFmtId="3" fontId="22" fillId="4" borderId="134" xfId="13" applyNumberFormat="1" applyFont="1" applyFill="1" applyBorder="1" applyAlignment="1">
      <alignment horizontal="center" vertical="center"/>
    </xf>
    <xf numFmtId="3" fontId="22" fillId="4" borderId="0" xfId="13" applyNumberFormat="1" applyFont="1" applyFill="1" applyBorder="1" applyAlignment="1">
      <alignment horizontal="center" vertical="center"/>
    </xf>
    <xf numFmtId="9" fontId="22" fillId="4" borderId="135" xfId="12" applyFont="1" applyFill="1" applyBorder="1" applyAlignment="1">
      <alignment horizontal="center" vertical="center"/>
    </xf>
    <xf numFmtId="0" fontId="22" fillId="4" borderId="136" xfId="13" applyFont="1" applyFill="1" applyBorder="1" applyAlignment="1">
      <alignment horizontal="center" vertical="center"/>
    </xf>
    <xf numFmtId="3" fontId="22" fillId="4" borderId="137" xfId="13" applyNumberFormat="1" applyFont="1" applyFill="1" applyBorder="1" applyAlignment="1">
      <alignment horizontal="center" vertical="center"/>
    </xf>
    <xf numFmtId="10" fontId="22" fillId="4" borderId="138" xfId="13" applyNumberFormat="1" applyFont="1" applyFill="1" applyBorder="1" applyAlignment="1">
      <alignment horizontal="center" vertical="center"/>
    </xf>
    <xf numFmtId="0" fontId="15" fillId="4" borderId="134" xfId="11" applyFill="1" applyBorder="1" applyAlignment="1">
      <alignment horizontal="center"/>
    </xf>
    <xf numFmtId="167" fontId="15" fillId="4" borderId="0" xfId="11" applyNumberFormat="1" applyFill="1" applyBorder="1"/>
    <xf numFmtId="0" fontId="15" fillId="4" borderId="139" xfId="11" applyFill="1" applyBorder="1" applyAlignment="1">
      <alignment horizontal="center"/>
    </xf>
    <xf numFmtId="167" fontId="15" fillId="4" borderId="140" xfId="11" applyNumberFormat="1" applyFill="1" applyBorder="1"/>
    <xf numFmtId="3" fontId="15" fillId="4" borderId="140" xfId="11" applyNumberFormat="1" applyFill="1" applyBorder="1" applyAlignment="1">
      <alignment horizontal="center"/>
    </xf>
    <xf numFmtId="167" fontId="23" fillId="13" borderId="131" xfId="15" applyNumberFormat="1" applyFont="1" applyBorder="1" applyAlignment="1">
      <alignment vertical="center" wrapText="1"/>
    </xf>
    <xf numFmtId="0" fontId="23" fillId="13" borderId="131" xfId="15" applyFont="1" applyBorder="1" applyAlignment="1">
      <alignment horizontal="center" vertical="center" wrapText="1"/>
    </xf>
    <xf numFmtId="167" fontId="23" fillId="13" borderId="132" xfId="15" applyNumberFormat="1" applyFont="1" applyBorder="1" applyAlignment="1">
      <alignment vertical="center" wrapText="1"/>
    </xf>
    <xf numFmtId="167" fontId="23" fillId="13" borderId="132" xfId="15" applyNumberFormat="1" applyFont="1" applyBorder="1" applyAlignment="1">
      <alignment horizontal="center" vertical="center" wrapText="1"/>
    </xf>
    <xf numFmtId="167" fontId="24" fillId="13" borderId="131" xfId="15" applyNumberFormat="1" applyFont="1" applyBorder="1" applyAlignment="1">
      <alignment horizontal="center" vertical="center" wrapText="1"/>
    </xf>
    <xf numFmtId="0" fontId="24" fillId="13" borderId="131" xfId="15" applyFont="1" applyBorder="1" applyAlignment="1">
      <alignment horizontal="center" vertical="center" wrapText="1"/>
    </xf>
    <xf numFmtId="167" fontId="24" fillId="13" borderId="132" xfId="15" applyNumberFormat="1" applyFont="1" applyBorder="1" applyAlignment="1">
      <alignment horizontal="center" vertical="center" wrapText="1"/>
    </xf>
    <xf numFmtId="0" fontId="15" fillId="4" borderId="131" xfId="11" applyNumberFormat="1" applyFill="1" applyBorder="1"/>
    <xf numFmtId="0" fontId="15" fillId="4" borderId="134" xfId="11" applyNumberFormat="1" applyFill="1" applyBorder="1"/>
    <xf numFmtId="167" fontId="15" fillId="4" borderId="134" xfId="11" applyNumberFormat="1" applyFill="1" applyBorder="1"/>
    <xf numFmtId="4" fontId="15" fillId="4" borderId="135" xfId="11" applyNumberFormat="1" applyFill="1" applyBorder="1" applyAlignment="1">
      <alignment horizontal="center" vertical="center"/>
    </xf>
    <xf numFmtId="0" fontId="15" fillId="4" borderId="139" xfId="11" applyNumberFormat="1" applyFill="1" applyBorder="1" applyAlignment="1">
      <alignment horizontal="center"/>
    </xf>
    <xf numFmtId="3" fontId="15" fillId="4" borderId="139" xfId="11" applyNumberFormat="1" applyFill="1" applyBorder="1" applyAlignment="1">
      <alignment horizontal="center"/>
    </xf>
    <xf numFmtId="4" fontId="15" fillId="4" borderId="141" xfId="11" applyNumberFormat="1" applyFill="1" applyBorder="1" applyAlignment="1">
      <alignment horizontal="center" vertical="center"/>
    </xf>
    <xf numFmtId="167" fontId="15" fillId="14" borderId="136" xfId="11" applyNumberFormat="1" applyFill="1" applyBorder="1" applyAlignment="1">
      <alignment vertical="center"/>
    </xf>
    <xf numFmtId="0" fontId="15" fillId="14" borderId="136" xfId="11" applyFill="1" applyBorder="1" applyAlignment="1">
      <alignment horizontal="center" vertical="center"/>
    </xf>
    <xf numFmtId="167" fontId="15" fillId="14" borderId="137" xfId="11" applyNumberFormat="1" applyFill="1" applyBorder="1" applyAlignment="1">
      <alignment vertical="center"/>
    </xf>
    <xf numFmtId="3" fontId="15" fillId="14" borderId="137"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4"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30" fillId="16" borderId="0" xfId="18" applyNumberFormat="1" applyFont="1" applyFill="1" applyBorder="1" applyAlignment="1">
      <alignment horizontal="center" vertical="center" wrapText="1"/>
    </xf>
    <xf numFmtId="170" fontId="30" fillId="16" borderId="0" xfId="17" applyNumberFormat="1" applyFont="1" applyFill="1" applyBorder="1" applyAlignment="1">
      <alignment horizontal="center" vertical="center" wrapText="1"/>
    </xf>
    <xf numFmtId="0" fontId="27" fillId="4" borderId="0" xfId="1" applyFont="1" applyFill="1" applyAlignment="1">
      <alignment horizontal="center" wrapText="1"/>
    </xf>
    <xf numFmtId="0" fontId="27" fillId="4" borderId="0" xfId="16" applyFont="1" applyFill="1" applyAlignment="1">
      <alignment horizontal="left" vertical="center" wrapText="1"/>
    </xf>
    <xf numFmtId="168" fontId="27" fillId="4" borderId="0" xfId="18" applyNumberFormat="1" applyFont="1" applyFill="1" applyAlignment="1">
      <alignment horizontal="center" vertical="center"/>
    </xf>
    <xf numFmtId="0" fontId="27" fillId="4" borderId="0" xfId="16" applyFont="1" applyFill="1" applyAlignment="1">
      <alignment horizontal="center" vertical="center"/>
    </xf>
    <xf numFmtId="0" fontId="27" fillId="4" borderId="0" xfId="16" applyFont="1" applyFill="1" applyAlignment="1">
      <alignment vertical="center"/>
    </xf>
    <xf numFmtId="169" fontId="29" fillId="15" borderId="0" xfId="17" applyNumberFormat="1" applyFont="1" applyFill="1" applyBorder="1" applyAlignment="1">
      <alignment horizontal="center" vertical="center" wrapText="1"/>
    </xf>
    <xf numFmtId="170" fontId="29" fillId="15" borderId="0" xfId="17" applyNumberFormat="1" applyFont="1" applyFill="1" applyBorder="1" applyAlignment="1">
      <alignment horizontal="center" vertical="center" wrapText="1"/>
    </xf>
    <xf numFmtId="0" fontId="4" fillId="4" borderId="12" xfId="0" applyFont="1" applyFill="1" applyBorder="1" applyAlignment="1" applyProtection="1">
      <alignment horizontal="center" vertical="center"/>
      <protection locked="0"/>
    </xf>
    <xf numFmtId="0" fontId="4" fillId="8" borderId="12" xfId="0" applyFont="1" applyFill="1" applyBorder="1" applyAlignment="1" applyProtection="1">
      <alignment horizontal="center" vertical="center"/>
      <protection locked="0"/>
    </xf>
    <xf numFmtId="0" fontId="3" fillId="3" borderId="38" xfId="0" applyFont="1" applyFill="1" applyBorder="1" applyAlignment="1">
      <alignment horizontal="center" vertical="center"/>
    </xf>
    <xf numFmtId="0" fontId="3" fillId="3" borderId="19" xfId="7" applyFont="1" applyFill="1" applyBorder="1" applyAlignment="1">
      <alignment vertical="top" wrapText="1"/>
    </xf>
    <xf numFmtId="0" fontId="4" fillId="4" borderId="20" xfId="7" applyFill="1" applyBorder="1" applyAlignment="1">
      <alignment vertical="top" wrapText="1"/>
    </xf>
    <xf numFmtId="0" fontId="4" fillId="4" borderId="23" xfId="7" applyFill="1" applyBorder="1" applyAlignment="1">
      <alignment vertical="top" wrapText="1"/>
    </xf>
    <xf numFmtId="0" fontId="3" fillId="3" borderId="24" xfId="7" applyFont="1" applyFill="1" applyBorder="1" applyAlignment="1">
      <alignment vertical="top" wrapText="1"/>
    </xf>
    <xf numFmtId="0" fontId="4" fillId="4" borderId="29" xfId="7" applyFill="1" applyBorder="1" applyAlignment="1">
      <alignment vertical="top" wrapText="1"/>
    </xf>
    <xf numFmtId="0" fontId="4" fillId="4" borderId="143"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16" fillId="0" borderId="48" xfId="0" applyFont="1" applyBorder="1" applyAlignment="1">
      <alignment horizontal="center"/>
    </xf>
    <xf numFmtId="0" fontId="16" fillId="0" borderId="98" xfId="0" applyFont="1" applyBorder="1" applyAlignment="1">
      <alignment horizontal="center"/>
    </xf>
    <xf numFmtId="0" fontId="0" fillId="0" borderId="0" xfId="0" applyAlignment="1">
      <alignment wrapText="1"/>
    </xf>
    <xf numFmtId="0" fontId="32" fillId="0" borderId="0" xfId="0" applyFont="1"/>
    <xf numFmtId="0" fontId="16" fillId="0" borderId="0" xfId="0" applyFont="1"/>
    <xf numFmtId="0" fontId="15" fillId="0" borderId="144" xfId="19" applyBorder="1"/>
    <xf numFmtId="164" fontId="15" fillId="0" borderId="144" xfId="10" applyFont="1" applyBorder="1"/>
    <xf numFmtId="0" fontId="33" fillId="0" borderId="0" xfId="0" applyFont="1"/>
    <xf numFmtId="0" fontId="15" fillId="0" borderId="145" xfId="19" applyBorder="1"/>
    <xf numFmtId="164" fontId="15" fillId="0" borderId="145" xfId="10" applyFont="1" applyBorder="1"/>
    <xf numFmtId="0" fontId="15" fillId="0" borderId="146" xfId="19" applyBorder="1"/>
    <xf numFmtId="164" fontId="15" fillId="0" borderId="146" xfId="10" applyFont="1" applyBorder="1"/>
    <xf numFmtId="0" fontId="15" fillId="0" borderId="147" xfId="19" applyBorder="1"/>
    <xf numFmtId="164" fontId="15" fillId="0" borderId="147" xfId="10" applyFont="1" applyBorder="1"/>
    <xf numFmtId="0" fontId="4" fillId="4" borderId="78" xfId="0" applyFont="1" applyFill="1" applyBorder="1" applyAlignment="1">
      <alignment horizontal="center" vertical="top" wrapText="1"/>
    </xf>
    <xf numFmtId="0" fontId="4" fillId="4" borderId="80" xfId="0" applyFont="1" applyFill="1" applyBorder="1" applyAlignment="1">
      <alignment vertical="top" wrapText="1"/>
    </xf>
    <xf numFmtId="0" fontId="4" fillId="2" borderId="148" xfId="0" applyFont="1" applyFill="1" applyBorder="1" applyAlignment="1">
      <alignment vertical="top" wrapText="1"/>
    </xf>
    <xf numFmtId="0" fontId="12" fillId="0" borderId="41" xfId="9" quotePrefix="1" applyBorder="1" applyAlignment="1">
      <alignment vertical="center"/>
    </xf>
    <xf numFmtId="10" fontId="19" fillId="0" borderId="0" xfId="12" applyNumberFormat="1" applyFont="1" applyBorder="1"/>
    <xf numFmtId="164" fontId="19" fillId="0" borderId="126" xfId="10" applyFont="1" applyBorder="1"/>
    <xf numFmtId="164" fontId="18" fillId="0" borderId="129" xfId="10" applyFont="1" applyBorder="1"/>
    <xf numFmtId="164" fontId="18" fillId="0" borderId="128" xfId="10" applyFont="1" applyBorder="1"/>
    <xf numFmtId="164" fontId="0" fillId="6" borderId="0" xfId="10" applyFont="1" applyFill="1"/>
    <xf numFmtId="164" fontId="4" fillId="6" borderId="0" xfId="10" applyFont="1" applyFill="1" applyAlignment="1">
      <alignment vertical="center"/>
    </xf>
    <xf numFmtId="164" fontId="0" fillId="6" borderId="0" xfId="10" applyFont="1" applyFill="1" applyAlignment="1">
      <alignment vertical="center"/>
    </xf>
    <xf numFmtId="164" fontId="3" fillId="3" borderId="40" xfId="10" applyFont="1" applyFill="1" applyBorder="1" applyAlignment="1">
      <alignment horizontal="center" vertical="center" wrapText="1"/>
    </xf>
    <xf numFmtId="164" fontId="7" fillId="6" borderId="0" xfId="10" applyFont="1" applyFill="1" applyAlignment="1">
      <alignment horizontal="center"/>
    </xf>
    <xf numFmtId="164" fontId="0" fillId="6" borderId="0" xfId="10" applyFont="1" applyFill="1" applyAlignment="1">
      <alignment horizontal="right" vertical="center"/>
    </xf>
    <xf numFmtId="164" fontId="11" fillId="6" borderId="0" xfId="10" applyFont="1" applyFill="1" applyAlignment="1">
      <alignment horizontal="right" vertical="center"/>
    </xf>
    <xf numFmtId="10" fontId="0" fillId="6" borderId="0" xfId="12" applyNumberFormat="1" applyFont="1" applyFill="1"/>
    <xf numFmtId="10" fontId="7" fillId="6" borderId="0" xfId="12" applyNumberFormat="1" applyFont="1" applyFill="1" applyAlignment="1">
      <alignment horizontal="center"/>
    </xf>
    <xf numFmtId="10" fontId="0" fillId="6" borderId="0" xfId="12" applyNumberFormat="1" applyFont="1" applyFill="1" applyAlignment="1">
      <alignment vertical="center"/>
    </xf>
    <xf numFmtId="10" fontId="3" fillId="3" borderId="40" xfId="12" applyNumberFormat="1" applyFont="1" applyFill="1" applyBorder="1" applyAlignment="1">
      <alignment horizontal="center" vertical="center" wrapText="1"/>
    </xf>
    <xf numFmtId="10" fontId="18" fillId="0" borderId="128" xfId="12" applyNumberFormat="1" applyFont="1" applyBorder="1"/>
    <xf numFmtId="173" fontId="19" fillId="0" borderId="0" xfId="10" applyNumberFormat="1" applyFont="1" applyBorder="1"/>
    <xf numFmtId="174" fontId="19" fillId="0" borderId="0" xfId="10" applyNumberFormat="1" applyFont="1" applyBorder="1"/>
    <xf numFmtId="0" fontId="4" fillId="0" borderId="72" xfId="0" applyFont="1" applyBorder="1" applyAlignment="1">
      <alignment horizontal="left"/>
    </xf>
    <xf numFmtId="0" fontId="4" fillId="0" borderId="7" xfId="0" applyFont="1" applyBorder="1" applyAlignment="1">
      <alignment horizontal="left"/>
    </xf>
    <xf numFmtId="172" fontId="22" fillId="4" borderId="135" xfId="12" applyNumberFormat="1" applyFont="1" applyFill="1" applyBorder="1" applyAlignment="1">
      <alignment horizontal="center" vertical="center"/>
    </xf>
    <xf numFmtId="0" fontId="18" fillId="0" borderId="0" xfId="11" applyFont="1" applyBorder="1"/>
    <xf numFmtId="0" fontId="18" fillId="0" borderId="128" xfId="11" applyFont="1" applyBorder="1"/>
    <xf numFmtId="173" fontId="0" fillId="6" borderId="0" xfId="0" applyNumberFormat="1" applyFill="1"/>
    <xf numFmtId="10" fontId="4" fillId="4" borderId="5" xfId="7" applyNumberFormat="1" applyFill="1" applyBorder="1" applyAlignment="1">
      <alignment vertical="top" wrapText="1"/>
    </xf>
    <xf numFmtId="10" fontId="4" fillId="4" borderId="2" xfId="7" applyNumberFormat="1" applyFill="1" applyBorder="1" applyAlignment="1">
      <alignment vertical="top" wrapText="1"/>
    </xf>
    <xf numFmtId="164" fontId="4" fillId="4" borderId="92" xfId="10" applyFont="1" applyFill="1" applyBorder="1" applyAlignment="1">
      <alignment vertical="top" wrapText="1"/>
    </xf>
    <xf numFmtId="164" fontId="4" fillId="4" borderId="7" xfId="10" applyFont="1" applyFill="1" applyBorder="1" applyAlignment="1">
      <alignment vertical="top" wrapText="1"/>
    </xf>
    <xf numFmtId="164" fontId="4" fillId="4" borderId="100" xfId="10" applyFont="1" applyFill="1" applyBorder="1" applyAlignment="1">
      <alignment vertical="top" wrapText="1"/>
    </xf>
    <xf numFmtId="164" fontId="4" fillId="4" borderId="101" xfId="10" applyFont="1" applyFill="1" applyBorder="1" applyAlignment="1">
      <alignment vertical="top" wrapText="1"/>
    </xf>
    <xf numFmtId="164" fontId="0" fillId="9" borderId="110" xfId="10" applyFont="1" applyFill="1" applyBorder="1" applyAlignment="1">
      <alignment vertical="center"/>
    </xf>
    <xf numFmtId="164" fontId="4" fillId="4" borderId="101" xfId="7" applyNumberFormat="1" applyFill="1" applyBorder="1" applyAlignment="1">
      <alignment vertical="top" wrapText="1"/>
    </xf>
    <xf numFmtId="10" fontId="4" fillId="4" borderId="101" xfId="7" applyNumberFormat="1" applyFill="1" applyBorder="1" applyAlignment="1">
      <alignment vertical="top" wrapText="1"/>
    </xf>
    <xf numFmtId="164" fontId="4" fillId="4" borderId="119" xfId="7" applyNumberFormat="1" applyFill="1" applyBorder="1" applyAlignment="1">
      <alignment vertical="top" wrapText="1"/>
    </xf>
    <xf numFmtId="164" fontId="4" fillId="4" borderId="124" xfId="7" applyNumberFormat="1" applyFill="1" applyBorder="1" applyAlignment="1">
      <alignment vertical="top" wrapText="1"/>
    </xf>
    <xf numFmtId="164" fontId="3" fillId="3" borderId="120" xfId="10" applyFont="1" applyFill="1" applyBorder="1" applyAlignment="1">
      <alignment horizontal="center" vertical="center" wrapText="1"/>
    </xf>
    <xf numFmtId="164" fontId="4" fillId="4" borderId="121" xfId="10" applyFont="1" applyFill="1" applyBorder="1" applyAlignment="1">
      <alignment vertical="top" wrapText="1"/>
    </xf>
    <xf numFmtId="164" fontId="0" fillId="9" borderId="111" xfId="10" applyFont="1" applyFill="1" applyBorder="1" applyAlignment="1">
      <alignment vertical="center"/>
    </xf>
    <xf numFmtId="9" fontId="4" fillId="4" borderId="124" xfId="12" applyFont="1" applyFill="1" applyBorder="1" applyAlignment="1">
      <alignment vertical="top" wrapText="1"/>
    </xf>
    <xf numFmtId="164" fontId="0" fillId="9" borderId="107" xfId="10" applyFont="1" applyFill="1" applyBorder="1" applyAlignment="1">
      <alignment vertical="center"/>
    </xf>
    <xf numFmtId="164" fontId="0" fillId="9" borderId="108" xfId="10" applyFont="1" applyFill="1" applyBorder="1" applyAlignment="1">
      <alignment vertical="center"/>
    </xf>
    <xf numFmtId="164" fontId="0" fillId="9" borderId="109" xfId="10" applyFont="1" applyFill="1" applyBorder="1" applyAlignment="1">
      <alignment vertical="center"/>
    </xf>
    <xf numFmtId="166" fontId="0" fillId="9" borderId="110" xfId="12" applyNumberFormat="1" applyFont="1" applyFill="1" applyBorder="1" applyAlignment="1">
      <alignment vertical="center"/>
    </xf>
    <xf numFmtId="164" fontId="4" fillId="4" borderId="114" xfId="7" applyNumberFormat="1" applyFill="1" applyBorder="1" applyAlignment="1">
      <alignment vertical="top" wrapText="1"/>
    </xf>
    <xf numFmtId="166" fontId="0" fillId="9" borderId="111" xfId="12" applyNumberFormat="1" applyFont="1" applyFill="1" applyBorder="1" applyAlignment="1">
      <alignment vertical="center"/>
    </xf>
    <xf numFmtId="164" fontId="15" fillId="4" borderId="132" xfId="10" applyFont="1" applyFill="1" applyBorder="1"/>
    <xf numFmtId="164" fontId="15" fillId="4" borderId="131" xfId="10" applyFont="1" applyFill="1" applyBorder="1"/>
    <xf numFmtId="164" fontId="15" fillId="4" borderId="133" xfId="10" applyFont="1" applyFill="1" applyBorder="1"/>
    <xf numFmtId="164" fontId="15" fillId="4" borderId="134" xfId="10" applyFont="1" applyFill="1" applyBorder="1" applyAlignment="1">
      <alignment horizontal="center"/>
    </xf>
    <xf numFmtId="164" fontId="15" fillId="4" borderId="0" xfId="10" applyFont="1" applyFill="1" applyBorder="1"/>
    <xf numFmtId="164" fontId="15" fillId="4" borderId="134" xfId="10" applyFont="1" applyFill="1" applyBorder="1"/>
    <xf numFmtId="164" fontId="15" fillId="4" borderId="135" xfId="10" applyFont="1" applyFill="1" applyBorder="1" applyAlignment="1">
      <alignment horizontal="center" vertical="center"/>
    </xf>
    <xf numFmtId="164" fontId="15" fillId="4" borderId="139" xfId="10" applyFont="1" applyFill="1" applyBorder="1" applyAlignment="1">
      <alignment horizontal="center"/>
    </xf>
    <xf numFmtId="164" fontId="15" fillId="4" borderId="140" xfId="10" applyFont="1" applyFill="1" applyBorder="1"/>
    <xf numFmtId="164" fontId="15" fillId="4" borderId="140" xfId="10" applyFont="1" applyFill="1" applyBorder="1" applyAlignment="1">
      <alignment horizontal="center"/>
    </xf>
    <xf numFmtId="164" fontId="15" fillId="4" borderId="141" xfId="10" applyFont="1" applyFill="1" applyBorder="1" applyAlignment="1">
      <alignment horizontal="center" vertical="center"/>
    </xf>
    <xf numFmtId="164" fontId="15" fillId="14" borderId="136" xfId="10" applyFont="1" applyFill="1" applyBorder="1" applyAlignment="1">
      <alignment horizontal="center" vertical="center"/>
    </xf>
    <xf numFmtId="164" fontId="15" fillId="14" borderId="137" xfId="10" applyFont="1" applyFill="1" applyBorder="1" applyAlignment="1">
      <alignment vertical="center"/>
    </xf>
    <xf numFmtId="164" fontId="15" fillId="14" borderId="137" xfId="10" applyFont="1" applyFill="1" applyBorder="1" applyAlignment="1">
      <alignment horizontal="center" vertical="center"/>
    </xf>
    <xf numFmtId="1" fontId="15" fillId="4" borderId="131" xfId="10" applyNumberFormat="1" applyFont="1" applyFill="1" applyBorder="1" applyAlignment="1">
      <alignment horizontal="center"/>
    </xf>
    <xf numFmtId="1" fontId="15" fillId="4" borderId="134" xfId="10" applyNumberFormat="1" applyFont="1" applyFill="1" applyBorder="1" applyAlignment="1">
      <alignment horizontal="center"/>
    </xf>
    <xf numFmtId="164" fontId="15" fillId="4" borderId="0" xfId="10" applyFont="1" applyFill="1" applyBorder="1" applyAlignment="1">
      <alignment horizontal="center" vertical="center"/>
    </xf>
    <xf numFmtId="167" fontId="24" fillId="13" borderId="57" xfId="15" applyNumberFormat="1" applyFont="1" applyBorder="1" applyAlignment="1">
      <alignment horizontal="center" vertical="center" wrapText="1"/>
    </xf>
    <xf numFmtId="0" fontId="34" fillId="4" borderId="134" xfId="11" applyNumberFormat="1" applyFont="1" applyFill="1" applyBorder="1"/>
    <xf numFmtId="0" fontId="34" fillId="4" borderId="134" xfId="11" applyFont="1" applyFill="1" applyBorder="1" applyAlignment="1">
      <alignment horizontal="center"/>
    </xf>
    <xf numFmtId="167" fontId="34" fillId="4" borderId="0" xfId="11" applyNumberFormat="1" applyFont="1" applyFill="1" applyBorder="1"/>
    <xf numFmtId="167" fontId="34" fillId="4" borderId="134" xfId="11" applyNumberFormat="1" applyFont="1" applyFill="1" applyBorder="1"/>
    <xf numFmtId="4" fontId="34" fillId="4" borderId="135" xfId="11" applyNumberFormat="1" applyFont="1" applyFill="1" applyBorder="1" applyAlignment="1">
      <alignment horizontal="center" vertical="center"/>
    </xf>
    <xf numFmtId="164" fontId="34" fillId="4" borderId="131" xfId="10" applyFont="1" applyFill="1" applyBorder="1"/>
    <xf numFmtId="164" fontId="34" fillId="4" borderId="131" xfId="10" applyFont="1" applyFill="1" applyBorder="1" applyAlignment="1">
      <alignment horizontal="center"/>
    </xf>
    <xf numFmtId="164" fontId="34" fillId="4" borderId="132" xfId="10" applyFont="1" applyFill="1" applyBorder="1"/>
    <xf numFmtId="164" fontId="34" fillId="4" borderId="133" xfId="10" applyFont="1" applyFill="1" applyBorder="1"/>
    <xf numFmtId="164" fontId="3" fillId="3" borderId="52" xfId="10" applyFont="1" applyFill="1" applyBorder="1" applyAlignment="1">
      <alignment horizontal="center" vertical="center" wrapText="1"/>
    </xf>
    <xf numFmtId="164" fontId="4" fillId="0" borderId="7" xfId="10" applyFont="1" applyBorder="1"/>
    <xf numFmtId="164" fontId="4" fillId="0" borderId="68" xfId="10" applyFont="1" applyBorder="1"/>
    <xf numFmtId="0" fontId="3" fillId="3" borderId="17" xfId="0" applyFont="1" applyFill="1" applyBorder="1" applyAlignment="1">
      <alignment horizontal="left" vertical="center"/>
    </xf>
    <xf numFmtId="0" fontId="3" fillId="3" borderId="18" xfId="0" applyFont="1" applyFill="1" applyBorder="1" applyAlignment="1">
      <alignment horizontal="left" vertical="center"/>
    </xf>
    <xf numFmtId="0" fontId="3" fillId="3" borderId="19" xfId="0" applyFont="1" applyFill="1" applyBorder="1" applyAlignment="1">
      <alignment horizontal="left" vertical="center"/>
    </xf>
    <xf numFmtId="0" fontId="3" fillId="3" borderId="21" xfId="0" applyFont="1" applyFill="1" applyBorder="1" applyAlignment="1">
      <alignment horizontal="left" vertical="center" wrapText="1"/>
    </xf>
    <xf numFmtId="0" fontId="3" fillId="3" borderId="22" xfId="0" applyFont="1" applyFill="1" applyBorder="1" applyAlignment="1">
      <alignment horizontal="left" vertical="center" wrapText="1"/>
    </xf>
    <xf numFmtId="0" fontId="3" fillId="3" borderId="23" xfId="0" applyFont="1" applyFill="1" applyBorder="1" applyAlignment="1">
      <alignment horizontal="left" vertical="center" wrapText="1"/>
    </xf>
    <xf numFmtId="0" fontId="4" fillId="4" borderId="12" xfId="0" applyFont="1" applyFill="1" applyBorder="1" applyAlignment="1" applyProtection="1">
      <alignment horizontal="center" vertical="center"/>
      <protection locked="0"/>
    </xf>
    <xf numFmtId="0" fontId="4" fillId="4" borderId="99" xfId="0" applyFont="1" applyFill="1" applyBorder="1" applyAlignment="1" applyProtection="1">
      <alignment horizontal="center" vertical="center"/>
      <protection locked="0"/>
    </xf>
    <xf numFmtId="0" fontId="4" fillId="4" borderId="13" xfId="0" applyFont="1" applyFill="1" applyBorder="1" applyAlignment="1" applyProtection="1">
      <alignment horizontal="center" vertical="center"/>
      <protection locked="0"/>
    </xf>
    <xf numFmtId="14" fontId="4" fillId="4" borderId="12" xfId="0" applyNumberFormat="1" applyFont="1" applyFill="1" applyBorder="1" applyAlignment="1" applyProtection="1">
      <alignment horizontal="center" vertical="center"/>
      <protection locked="0"/>
    </xf>
    <xf numFmtId="14" fontId="4" fillId="4" borderId="99" xfId="0" applyNumberFormat="1" applyFont="1" applyFill="1" applyBorder="1" applyAlignment="1" applyProtection="1">
      <alignment horizontal="center" vertical="center"/>
      <protection locked="0"/>
    </xf>
    <xf numFmtId="14" fontId="4" fillId="4" borderId="13" xfId="0" applyNumberFormat="1" applyFont="1" applyFill="1" applyBorder="1" applyAlignment="1" applyProtection="1">
      <alignment horizontal="center" vertical="center"/>
      <protection locked="0"/>
    </xf>
    <xf numFmtId="37" fontId="8" fillId="3" borderId="36" xfId="3" applyFont="1" applyFill="1" applyBorder="1" applyAlignment="1">
      <alignment horizontal="center" vertical="center"/>
    </xf>
    <xf numFmtId="37" fontId="8" fillId="3" borderId="37" xfId="3" applyFont="1" applyFill="1" applyBorder="1" applyAlignment="1">
      <alignment horizontal="center" vertical="center"/>
    </xf>
    <xf numFmtId="37" fontId="8" fillId="3" borderId="38" xfId="3" applyFont="1" applyFill="1" applyBorder="1" applyAlignment="1">
      <alignment horizontal="center" vertical="center"/>
    </xf>
    <xf numFmtId="14" fontId="4"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8" fillId="3" borderId="36" xfId="0" applyFont="1" applyFill="1" applyBorder="1" applyAlignment="1">
      <alignment horizontal="center" vertical="center" wrapText="1"/>
    </xf>
    <xf numFmtId="0" fontId="8" fillId="3" borderId="37" xfId="0" applyFont="1" applyFill="1" applyBorder="1" applyAlignment="1">
      <alignment horizontal="center" vertical="center" wrapText="1"/>
    </xf>
    <xf numFmtId="0" fontId="8" fillId="3" borderId="38" xfId="0" applyFont="1" applyFill="1" applyBorder="1" applyAlignment="1">
      <alignment horizontal="center" vertical="center" wrapText="1"/>
    </xf>
    <xf numFmtId="0" fontId="10" fillId="3" borderId="17" xfId="0" applyFont="1" applyFill="1" applyBorder="1" applyAlignment="1">
      <alignment horizontal="center" vertical="center"/>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36" xfId="0" applyFont="1" applyFill="1" applyBorder="1" applyAlignment="1">
      <alignment horizontal="center" vertical="center"/>
    </xf>
    <xf numFmtId="0" fontId="10" fillId="3" borderId="37" xfId="0" applyFont="1" applyFill="1" applyBorder="1" applyAlignment="1">
      <alignment horizontal="center" vertical="center"/>
    </xf>
    <xf numFmtId="0" fontId="10" fillId="3" borderId="38" xfId="0" applyFont="1" applyFill="1" applyBorder="1" applyAlignment="1">
      <alignment horizontal="center" vertical="center"/>
    </xf>
    <xf numFmtId="0" fontId="4" fillId="8" borderId="12" xfId="0" applyFont="1" applyFill="1" applyBorder="1" applyAlignment="1" applyProtection="1">
      <alignment horizontal="center" vertical="center"/>
      <protection locked="0"/>
    </xf>
    <xf numFmtId="0" fontId="4" fillId="8" borderId="13" xfId="0" applyFont="1" applyFill="1" applyBorder="1" applyAlignment="1" applyProtection="1">
      <alignment horizontal="center" vertical="center"/>
      <protection locked="0"/>
    </xf>
    <xf numFmtId="0" fontId="4" fillId="4" borderId="93" xfId="0" applyFont="1" applyFill="1" applyBorder="1" applyAlignment="1">
      <alignment horizontal="center" wrapText="1"/>
    </xf>
    <xf numFmtId="0" fontId="4" fillId="4" borderId="102" xfId="0" applyFont="1" applyFill="1" applyBorder="1" applyAlignment="1">
      <alignment horizontal="center" wrapText="1"/>
    </xf>
    <xf numFmtId="0" fontId="4" fillId="4" borderId="103" xfId="0" applyFont="1" applyFill="1" applyBorder="1" applyAlignment="1">
      <alignment horizontal="center" wrapText="1"/>
    </xf>
    <xf numFmtId="0" fontId="4" fillId="4" borderId="11" xfId="0" applyFont="1" applyFill="1" applyBorder="1" applyAlignment="1">
      <alignment horizontal="center" wrapText="1"/>
    </xf>
    <xf numFmtId="0" fontId="4" fillId="4" borderId="0" xfId="0" applyFont="1" applyFill="1" applyAlignment="1">
      <alignment horizontal="center" wrapText="1"/>
    </xf>
    <xf numFmtId="0" fontId="4" fillId="4" borderId="4" xfId="0" applyFont="1" applyFill="1" applyBorder="1" applyAlignment="1">
      <alignment horizontal="center" wrapText="1"/>
    </xf>
    <xf numFmtId="0" fontId="4" fillId="4" borderId="104" xfId="0" applyFont="1" applyFill="1" applyBorder="1" applyAlignment="1">
      <alignment horizontal="center" wrapText="1"/>
    </xf>
    <xf numFmtId="0" fontId="4" fillId="4" borderId="105" xfId="0" applyFont="1" applyFill="1" applyBorder="1" applyAlignment="1">
      <alignment horizontal="center" wrapText="1"/>
    </xf>
    <xf numFmtId="0" fontId="4" fillId="4" borderId="2" xfId="0" applyFont="1" applyFill="1" applyBorder="1" applyAlignment="1">
      <alignment horizontal="center" wrapText="1"/>
    </xf>
    <xf numFmtId="0" fontId="3" fillId="3" borderId="37" xfId="7" applyFont="1" applyFill="1" applyBorder="1" applyAlignment="1">
      <alignment horizontal="center" vertical="center" wrapText="1"/>
    </xf>
    <xf numFmtId="0" fontId="3" fillId="3" borderId="38" xfId="7" applyFont="1" applyFill="1" applyBorder="1" applyAlignment="1">
      <alignment horizontal="center" vertical="center" wrapText="1"/>
    </xf>
    <xf numFmtId="0" fontId="3" fillId="3" borderId="54" xfId="7" applyFont="1" applyFill="1" applyBorder="1" applyAlignment="1">
      <alignment horizontal="center" vertical="center" wrapText="1"/>
    </xf>
    <xf numFmtId="0" fontId="3" fillId="3" borderId="58" xfId="7" applyFont="1" applyFill="1" applyBorder="1" applyAlignment="1">
      <alignment horizontal="center" vertical="center" wrapText="1"/>
    </xf>
    <xf numFmtId="0" fontId="4" fillId="4" borderId="10" xfId="0" applyFont="1" applyFill="1" applyBorder="1" applyAlignment="1">
      <alignment horizontal="center" wrapText="1"/>
    </xf>
    <xf numFmtId="164" fontId="4" fillId="17" borderId="12" xfId="10" applyFont="1" applyFill="1" applyBorder="1" applyAlignment="1" applyProtection="1">
      <alignment horizontal="center" vertical="center"/>
      <protection locked="0"/>
    </xf>
    <xf numFmtId="164" fontId="4" fillId="17" borderId="13" xfId="10" applyFont="1" applyFill="1" applyBorder="1" applyAlignment="1" applyProtection="1">
      <alignment horizontal="center" vertical="center"/>
      <protection locked="0"/>
    </xf>
    <xf numFmtId="164" fontId="4" fillId="8" borderId="12" xfId="10" applyFont="1" applyFill="1" applyBorder="1" applyAlignment="1" applyProtection="1">
      <alignment horizontal="center" vertical="center"/>
      <protection locked="0"/>
    </xf>
    <xf numFmtId="164" fontId="4" fillId="8" borderId="13" xfId="10" applyFont="1" applyFill="1" applyBorder="1" applyAlignment="1" applyProtection="1">
      <alignment horizontal="center" vertical="center"/>
      <protection locked="0"/>
    </xf>
    <xf numFmtId="1" fontId="4" fillId="8" borderId="12" xfId="10" applyNumberFormat="1" applyFont="1" applyFill="1" applyBorder="1" applyAlignment="1" applyProtection="1">
      <alignment horizontal="center" vertical="center"/>
      <protection locked="0"/>
    </xf>
    <xf numFmtId="1" fontId="4" fillId="8" borderId="13" xfId="10" applyNumberFormat="1" applyFont="1" applyFill="1" applyBorder="1" applyAlignment="1" applyProtection="1">
      <alignment horizontal="center" vertical="center"/>
      <protection locked="0"/>
    </xf>
    <xf numFmtId="164" fontId="3" fillId="4" borderId="12" xfId="10" applyFont="1" applyFill="1" applyBorder="1" applyAlignment="1" applyProtection="1">
      <alignment horizontal="center" vertical="center"/>
      <protection locked="0"/>
    </xf>
    <xf numFmtId="164" fontId="3" fillId="4" borderId="13" xfId="10" applyFont="1" applyFill="1" applyBorder="1" applyAlignment="1" applyProtection="1">
      <alignment horizontal="center" vertical="center"/>
      <protection locked="0"/>
    </xf>
    <xf numFmtId="0" fontId="0" fillId="10" borderId="107" xfId="0" applyFill="1" applyBorder="1" applyAlignment="1">
      <alignment horizontal="center" vertical="center"/>
    </xf>
    <xf numFmtId="0" fontId="0" fillId="10" borderId="108" xfId="0" applyFill="1" applyBorder="1" applyAlignment="1">
      <alignment horizontal="center" vertical="center"/>
    </xf>
    <xf numFmtId="0" fontId="0" fillId="10" borderId="109" xfId="0" applyFill="1" applyBorder="1" applyAlignment="1">
      <alignment horizontal="center" vertical="center"/>
    </xf>
    <xf numFmtId="0" fontId="21" fillId="15" borderId="136" xfId="14" applyFont="1" applyFill="1" applyBorder="1" applyAlignment="1">
      <alignment horizontal="center" vertical="center" wrapText="1"/>
    </xf>
    <xf numFmtId="0" fontId="21" fillId="15" borderId="137" xfId="14" applyFont="1" applyFill="1" applyBorder="1" applyAlignment="1">
      <alignment horizontal="center" vertical="center" wrapText="1"/>
    </xf>
    <xf numFmtId="0" fontId="21" fillId="15" borderId="138" xfId="14" applyFont="1" applyFill="1" applyBorder="1" applyAlignment="1">
      <alignment horizontal="center" vertical="center" wrapText="1"/>
    </xf>
    <xf numFmtId="37" fontId="8" fillId="3" borderId="1" xfId="3" applyFont="1" applyFill="1" applyBorder="1" applyAlignment="1">
      <alignment horizontal="center" vertical="center"/>
    </xf>
    <xf numFmtId="37" fontId="8" fillId="3" borderId="0" xfId="3" applyFont="1" applyFill="1" applyAlignment="1">
      <alignment horizontal="center" vertical="center"/>
    </xf>
    <xf numFmtId="0" fontId="4" fillId="4" borderId="13" xfId="0" applyFont="1" applyFill="1" applyBorder="1" applyAlignment="1">
      <alignment horizontal="center" vertical="center"/>
    </xf>
    <xf numFmtId="0" fontId="21" fillId="15" borderId="131" xfId="14" applyFont="1" applyFill="1" applyBorder="1" applyAlignment="1">
      <alignment horizontal="center" vertical="center"/>
    </xf>
    <xf numFmtId="0" fontId="21" fillId="15" borderId="132" xfId="14" applyFont="1" applyFill="1" applyBorder="1" applyAlignment="1">
      <alignment horizontal="center" vertical="center"/>
    </xf>
    <xf numFmtId="0" fontId="21" fillId="15" borderId="133" xfId="14" applyFont="1" applyFill="1" applyBorder="1" applyAlignment="1">
      <alignment horizontal="center" vertical="center"/>
    </xf>
    <xf numFmtId="0" fontId="21" fillId="15" borderId="134" xfId="14" applyFont="1" applyFill="1" applyBorder="1" applyAlignment="1">
      <alignment horizontal="center" vertical="center"/>
    </xf>
    <xf numFmtId="0" fontId="21" fillId="15" borderId="0" xfId="14" applyFont="1" applyFill="1" applyBorder="1" applyAlignment="1">
      <alignment horizontal="center" vertical="center"/>
    </xf>
    <xf numFmtId="0" fontId="21" fillId="15" borderId="135" xfId="14" applyFont="1" applyFill="1" applyBorder="1" applyAlignment="1">
      <alignment horizontal="center" vertical="center"/>
    </xf>
    <xf numFmtId="0" fontId="4" fillId="4" borderId="10" xfId="0" applyFont="1" applyFill="1" applyBorder="1" applyAlignment="1" applyProtection="1">
      <alignment horizontal="center" vertical="center"/>
      <protection locked="0"/>
    </xf>
    <xf numFmtId="0" fontId="10" fillId="15" borderId="136" xfId="14" applyFont="1" applyFill="1" applyBorder="1" applyAlignment="1">
      <alignment horizontal="center" vertical="center" wrapText="1"/>
    </xf>
    <xf numFmtId="0" fontId="10" fillId="15" borderId="137" xfId="14" applyFont="1" applyFill="1" applyBorder="1" applyAlignment="1">
      <alignment horizontal="center" vertical="center" wrapText="1"/>
    </xf>
    <xf numFmtId="0" fontId="10" fillId="15" borderId="138" xfId="14" applyFont="1" applyFill="1" applyBorder="1" applyAlignment="1">
      <alignment horizontal="center" vertical="center" wrapText="1"/>
    </xf>
    <xf numFmtId="167" fontId="24" fillId="13" borderId="136" xfId="15" applyNumberFormat="1" applyFont="1" applyBorder="1" applyAlignment="1">
      <alignment horizontal="center" vertical="center" wrapText="1"/>
    </xf>
    <xf numFmtId="167" fontId="24" fillId="13" borderId="137" xfId="15" applyNumberFormat="1" applyFont="1" applyBorder="1" applyAlignment="1">
      <alignment horizontal="center" vertical="center" wrapText="1"/>
    </xf>
    <xf numFmtId="167" fontId="24" fillId="13" borderId="138" xfId="15" applyNumberFormat="1" applyFont="1" applyBorder="1" applyAlignment="1">
      <alignment horizontal="center" vertical="center" wrapText="1"/>
    </xf>
    <xf numFmtId="0" fontId="4" fillId="4" borderId="67" xfId="0" applyFont="1" applyFill="1" applyBorder="1" applyAlignment="1">
      <alignment horizontal="center" vertical="center"/>
    </xf>
    <xf numFmtId="0" fontId="4" fillId="4" borderId="68" xfId="0" applyFont="1" applyFill="1" applyBorder="1" applyAlignment="1">
      <alignment horizontal="center" vertical="center"/>
    </xf>
    <xf numFmtId="0" fontId="3" fillId="3" borderId="48" xfId="0" applyFont="1" applyFill="1" applyBorder="1" applyAlignment="1">
      <alignment horizontal="center" vertical="center"/>
    </xf>
    <xf numFmtId="0" fontId="3" fillId="3" borderId="49" xfId="0" applyFont="1" applyFill="1" applyBorder="1" applyAlignment="1">
      <alignment horizontal="center" vertical="center"/>
    </xf>
    <xf numFmtId="0" fontId="3" fillId="3" borderId="50" xfId="0" applyFont="1" applyFill="1" applyBorder="1" applyAlignment="1">
      <alignment horizontal="center" vertical="center"/>
    </xf>
    <xf numFmtId="0" fontId="3" fillId="3" borderId="51" xfId="0" applyFont="1" applyFill="1" applyBorder="1" applyAlignment="1">
      <alignment horizontal="center" vertical="center"/>
    </xf>
    <xf numFmtId="0" fontId="3" fillId="3" borderId="39" xfId="0" applyFont="1" applyFill="1" applyBorder="1" applyAlignment="1">
      <alignment horizontal="center"/>
    </xf>
    <xf numFmtId="0" fontId="3" fillId="3" borderId="40" xfId="0" applyFont="1" applyFill="1" applyBorder="1" applyAlignment="1">
      <alignment horizontal="center"/>
    </xf>
    <xf numFmtId="0" fontId="3" fillId="3" borderId="53" xfId="0" applyFont="1" applyFill="1" applyBorder="1" applyAlignment="1">
      <alignment horizontal="center"/>
    </xf>
    <xf numFmtId="0" fontId="3" fillId="3" borderId="41" xfId="0" applyFont="1" applyFill="1" applyBorder="1" applyAlignment="1">
      <alignment horizontal="center"/>
    </xf>
    <xf numFmtId="0" fontId="3" fillId="3" borderId="96" xfId="0" applyFont="1" applyFill="1" applyBorder="1" applyAlignment="1">
      <alignment horizontal="center" wrapText="1"/>
    </xf>
    <xf numFmtId="0" fontId="3" fillId="3" borderId="92" xfId="0" applyFont="1" applyFill="1" applyBorder="1" applyAlignment="1">
      <alignment horizontal="center" wrapText="1"/>
    </xf>
    <xf numFmtId="0" fontId="3" fillId="3" borderId="93" xfId="0" applyFont="1" applyFill="1" applyBorder="1" applyAlignment="1">
      <alignment horizontal="center" wrapText="1"/>
    </xf>
    <xf numFmtId="0" fontId="3" fillId="3" borderId="97" xfId="0" applyFont="1" applyFill="1" applyBorder="1" applyAlignment="1">
      <alignment horizontal="center" wrapText="1"/>
    </xf>
    <xf numFmtId="0" fontId="4" fillId="4" borderId="3" xfId="0" applyFont="1" applyFill="1" applyBorder="1" applyAlignment="1">
      <alignment horizontal="center" vertical="center"/>
    </xf>
    <xf numFmtId="0" fontId="4" fillId="4" borderId="69" xfId="0" applyFont="1" applyFill="1" applyBorder="1" applyAlignment="1">
      <alignment horizontal="center" vertical="center"/>
    </xf>
    <xf numFmtId="0" fontId="3" fillId="3" borderId="45" xfId="0" applyFont="1" applyFill="1" applyBorder="1" applyAlignment="1">
      <alignment horizontal="center" vertical="center"/>
    </xf>
    <xf numFmtId="0" fontId="3" fillId="3" borderId="46" xfId="0" applyFont="1" applyFill="1" applyBorder="1" applyAlignment="1">
      <alignment horizontal="center" vertical="center"/>
    </xf>
    <xf numFmtId="0" fontId="3" fillId="3" borderId="47" xfId="0" applyFont="1" applyFill="1" applyBorder="1" applyAlignment="1">
      <alignment horizontal="center" vertical="center"/>
    </xf>
    <xf numFmtId="0" fontId="3" fillId="3" borderId="36" xfId="0" applyFont="1" applyFill="1" applyBorder="1" applyAlignment="1">
      <alignment horizontal="center" vertical="center"/>
    </xf>
    <xf numFmtId="0" fontId="3" fillId="3" borderId="37" xfId="0" applyFont="1" applyFill="1" applyBorder="1" applyAlignment="1">
      <alignment horizontal="center" vertical="center"/>
    </xf>
    <xf numFmtId="0" fontId="3" fillId="3" borderId="58" xfId="0" applyFont="1" applyFill="1" applyBorder="1" applyAlignment="1">
      <alignment horizontal="center" vertical="center"/>
    </xf>
    <xf numFmtId="0" fontId="3" fillId="3" borderId="54" xfId="0" applyFont="1" applyFill="1" applyBorder="1" applyAlignment="1">
      <alignment horizontal="center" vertical="center"/>
    </xf>
    <xf numFmtId="0" fontId="3" fillId="3" borderId="38" xfId="0" applyFont="1" applyFill="1" applyBorder="1" applyAlignment="1">
      <alignment horizontal="center" vertical="center"/>
    </xf>
    <xf numFmtId="0" fontId="4" fillId="4" borderId="30" xfId="0" applyFont="1" applyFill="1" applyBorder="1" applyAlignment="1">
      <alignment horizontal="center" vertical="center"/>
    </xf>
    <xf numFmtId="0" fontId="4" fillId="4" borderId="29" xfId="0" applyFont="1" applyFill="1" applyBorder="1" applyAlignment="1">
      <alignment horizontal="center" vertical="center"/>
    </xf>
    <xf numFmtId="0" fontId="11" fillId="3" borderId="45" xfId="0" applyFont="1" applyFill="1" applyBorder="1" applyAlignment="1">
      <alignment horizontal="center" vertical="center" textRotation="90"/>
    </xf>
    <xf numFmtId="0" fontId="11" fillId="3" borderId="46" xfId="0" applyFont="1" applyFill="1" applyBorder="1" applyAlignment="1">
      <alignment horizontal="center" vertical="center" textRotation="90"/>
    </xf>
    <xf numFmtId="0" fontId="11" fillId="3" borderId="47" xfId="0" applyFont="1" applyFill="1" applyBorder="1" applyAlignment="1">
      <alignment horizontal="center" vertical="center" textRotation="90"/>
    </xf>
    <xf numFmtId="0" fontId="11" fillId="3" borderId="45" xfId="0" applyFont="1" applyFill="1" applyBorder="1" applyAlignment="1">
      <alignment horizontal="center" vertical="center" textRotation="90" wrapText="1"/>
    </xf>
    <xf numFmtId="0" fontId="11" fillId="3" borderId="46" xfId="0" applyFont="1" applyFill="1" applyBorder="1" applyAlignment="1">
      <alignment horizontal="center" vertical="center" textRotation="90" wrapText="1"/>
    </xf>
    <xf numFmtId="0" fontId="11" fillId="3" borderId="47" xfId="0" applyFont="1" applyFill="1" applyBorder="1" applyAlignment="1">
      <alignment horizontal="center" vertical="center" textRotation="90" wrapText="1"/>
    </xf>
    <xf numFmtId="0" fontId="3" fillId="3" borderId="54" xfId="0" applyFont="1" applyFill="1" applyBorder="1" applyAlignment="1">
      <alignment horizontal="center"/>
    </xf>
    <xf numFmtId="0" fontId="3" fillId="3" borderId="38" xfId="0" applyFont="1" applyFill="1" applyBorder="1" applyAlignment="1">
      <alignment horizontal="center"/>
    </xf>
    <xf numFmtId="0" fontId="3" fillId="3" borderId="1" xfId="0" applyFont="1" applyFill="1" applyBorder="1" applyAlignment="1">
      <alignment horizontal="center" vertical="center"/>
    </xf>
    <xf numFmtId="0" fontId="3" fillId="3" borderId="0" xfId="0" applyFont="1" applyFill="1" applyAlignment="1">
      <alignment horizontal="center" vertical="center"/>
    </xf>
    <xf numFmtId="0" fontId="4" fillId="8" borderId="99" xfId="0" applyFont="1" applyFill="1" applyBorder="1" applyAlignment="1" applyProtection="1">
      <alignment horizontal="center" vertical="center"/>
      <protection locked="0"/>
    </xf>
    <xf numFmtId="0" fontId="27" fillId="4" borderId="0" xfId="16" applyFont="1" applyFill="1" applyAlignment="1">
      <alignment horizontal="center" vertical="top" wrapText="1"/>
    </xf>
    <xf numFmtId="0" fontId="0" fillId="4" borderId="0" xfId="0" applyFill="1" applyAlignment="1">
      <alignment horizontal="center" vertical="center" wrapText="1"/>
    </xf>
    <xf numFmtId="0" fontId="4" fillId="4" borderId="17" xfId="0" applyFont="1" applyFill="1" applyBorder="1" applyAlignment="1">
      <alignment horizontal="left" vertical="center" wrapText="1"/>
    </xf>
    <xf numFmtId="0" fontId="4" fillId="4" borderId="18" xfId="0" applyFont="1" applyFill="1" applyBorder="1" applyAlignment="1">
      <alignment horizontal="left" vertical="center" wrapText="1"/>
    </xf>
    <xf numFmtId="0" fontId="4" fillId="4" borderId="19" xfId="0" applyFont="1" applyFill="1" applyBorder="1" applyAlignment="1">
      <alignment horizontal="left" vertical="center" wrapText="1"/>
    </xf>
    <xf numFmtId="0" fontId="4" fillId="4" borderId="1"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0" xfId="0" applyFont="1" applyFill="1" applyBorder="1" applyAlignment="1">
      <alignment horizontal="left" vertical="center" wrapText="1"/>
    </xf>
    <xf numFmtId="0" fontId="4" fillId="4" borderId="21" xfId="0" applyFont="1" applyFill="1" applyBorder="1" applyAlignment="1">
      <alignment horizontal="left" vertical="center" wrapText="1"/>
    </xf>
    <xf numFmtId="0" fontId="4" fillId="4" borderId="22" xfId="0" applyFont="1" applyFill="1" applyBorder="1" applyAlignment="1">
      <alignment horizontal="left" vertical="center" wrapText="1"/>
    </xf>
    <xf numFmtId="0" fontId="4" fillId="4" borderId="23" xfId="0" applyFont="1" applyFill="1" applyBorder="1" applyAlignment="1">
      <alignment horizontal="left" vertical="center" wrapText="1"/>
    </xf>
    <xf numFmtId="168" fontId="0" fillId="0" borderId="20" xfId="10" applyNumberFormat="1" applyFont="1" applyBorder="1" applyAlignment="1">
      <alignment horizontal="left"/>
    </xf>
    <xf numFmtId="0" fontId="19" fillId="0" borderId="0" xfId="10" applyNumberFormat="1" applyFont="1" applyBorder="1"/>
    <xf numFmtId="0" fontId="19" fillId="0" borderId="0" xfId="12" applyNumberFormat="1" applyFont="1" applyBorder="1"/>
    <xf numFmtId="0" fontId="18" fillId="0" borderId="149" xfId="11" applyFont="1" applyBorder="1"/>
    <xf numFmtId="0" fontId="4" fillId="0" borderId="72" xfId="10" applyNumberFormat="1" applyFont="1" applyBorder="1" applyAlignment="1">
      <alignment vertical="top"/>
    </xf>
    <xf numFmtId="0" fontId="4" fillId="0" borderId="72" xfId="10" applyNumberFormat="1" applyFont="1" applyBorder="1" applyAlignment="1"/>
    <xf numFmtId="0" fontId="4" fillId="0" borderId="72" xfId="0" applyNumberFormat="1" applyFont="1" applyBorder="1"/>
    <xf numFmtId="0" fontId="4" fillId="0" borderId="72" xfId="0" applyNumberFormat="1" applyFont="1" applyBorder="1" applyAlignment="1">
      <alignment horizontal="center"/>
    </xf>
    <xf numFmtId="0" fontId="4" fillId="0" borderId="72" xfId="10" applyNumberFormat="1" applyFont="1" applyBorder="1"/>
    <xf numFmtId="0" fontId="4" fillId="0" borderId="7" xfId="10" applyNumberFormat="1" applyFont="1" applyBorder="1" applyAlignment="1">
      <alignment vertical="top"/>
    </xf>
    <xf numFmtId="0" fontId="1" fillId="0" borderId="0" xfId="20"/>
  </cellXfs>
  <cellStyles count="21">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Normal 4" xfId="20" xr:uid="{272EAB72-CC2A-45BA-8E8F-5E9D83A77B84}"/>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rgb="FFFF7979"/>
        </patternFill>
      </fill>
    </dxf>
    <dxf>
      <fill>
        <patternFill>
          <bgColor theme="7" tint="0.59996337778862885"/>
        </patternFill>
      </fill>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E2001A"/>
      <color rgb="FF26B8AD"/>
      <color rgb="FF175788"/>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778094</xdr:colOff>
      <xdr:row>3</xdr:row>
      <xdr:rowOff>114219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244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621884</xdr:colOff>
      <xdr:row>3</xdr:row>
      <xdr:rowOff>114219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58750"/>
          <a:ext cx="1311494" cy="43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428544</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142875</xdr:colOff>
          <xdr:row>22</xdr:row>
          <xdr:rowOff>9525</xdr:rowOff>
        </xdr:from>
        <xdr:to>
          <xdr:col>4</xdr:col>
          <xdr:colOff>1047750</xdr:colOff>
          <xdr:row>26</xdr:row>
          <xdr:rowOff>104775</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1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5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kenbright-my.sharepoint.com/personal/fnyongesa_kenbright_africa/Documents/Attachments/Property%20renewal%20data%20requirements%20update%20Jan%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44" dataDxfId="42" headerRowBorderDxfId="43" tableBorderDxfId="41" totalsRowBorderDxfId="40">
  <autoFilter ref="B5:I16" xr:uid="{B68BBFDB-4AB2-49F4-A3BF-4CDCD93DE666}"/>
  <tableColumns count="8">
    <tableColumn id="1" xr3:uid="{63D3F5D0-3E37-435B-95E1-79C3E693BCD2}" name="Number" dataDxfId="39"/>
    <tableColumn id="2" xr3:uid="{B98D5C70-51C7-4F2B-A176-FDCA837E4A92}" name="Required Information" dataDxfId="38"/>
    <tableColumn id="3" xr3:uid="{54024A9A-1FC5-4CFE-8155-2DFDF4CFDB4A}" name="Breakdown" dataDxfId="37"/>
    <tableColumn id="4" xr3:uid="{CE7574B4-CBBB-47D1-8C11-96835F8382D5}" name="Pricing Element" dataDxfId="36"/>
    <tableColumn id="5" xr3:uid="{E456926A-0425-4D99-9B79-5496F92E1355}" name="Comments" dataDxfId="35"/>
    <tableColumn id="6" xr3:uid="{B52DAB31-7022-4AB6-BDF1-8F88130DF243}" name="Info acquired" dataDxfId="34"/>
    <tableColumn id="8" xr3:uid="{C91D766D-2785-44B3-801E-8DE8725A524B}" name="Template" dataDxfId="33"/>
    <tableColumn id="7" xr3:uid="{49B28206-97B4-49AE-AD8B-475497AED991}" name="UW Comments"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31" dataDxfId="29" headerRowBorderDxfId="30" tableBorderDxfId="28">
  <autoFilter ref="B19:H37" xr:uid="{5DC64CBF-E660-4591-8B16-63922D54EBB3}"/>
  <tableColumns count="7">
    <tableColumn id="1" xr3:uid="{C4929751-2319-427E-9370-880618AC4E39}" name="Number" dataDxfId="27">
      <calculatedColumnFormula>+B19+1</calculatedColumnFormula>
    </tableColumn>
    <tableColumn id="2" xr3:uid="{57D8BB9F-F7C8-4EBD-9CFE-70B7289BA6CB}" name="Required Information" dataDxfId="26"/>
    <tableColumn id="3" xr3:uid="{F49BC0FA-49E2-4653-9AB3-5731EE46032F}" name="Breakdown" dataDxfId="25"/>
    <tableColumn id="4" xr3:uid="{97E1D201-8365-4367-9368-B1802C6ABFF5}" name="Pricing Element" dataDxfId="24"/>
    <tableColumn id="5" xr3:uid="{CA7F29AC-4374-4F1A-9825-AD428EEB40B5}" name="Comments" dataDxfId="23"/>
    <tableColumn id="6" xr3:uid="{F1999D6E-AA5C-411B-A203-684412FA67D0}" name="Info acquired" dataDxfId="22"/>
    <tableColumn id="7" xr3:uid="{D9A5F6E4-598F-4B00-AE72-8E0192E29062}" name="UW Comments"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20" dataDxfId="18" headerRowBorderDxfId="19" tableBorderDxfId="17" totalsRowBorderDxfId="16">
  <autoFilter ref="B4:F19" xr:uid="{B68BBFDB-4AB2-49F4-A3BF-4CDCD93DE666}"/>
  <tableColumns count="5">
    <tableColumn id="1" xr3:uid="{88F96DE2-B0BA-48B3-9A52-BD9066B70636}" name="Number" dataDxfId="15"/>
    <tableColumn id="2" xr3:uid="{82BC6889-2698-4A4C-845D-3E56E4F0621F}" name="Required Information" dataDxfId="14"/>
    <tableColumn id="6" xr3:uid="{611599F1-5333-4D27-AFC4-390A8E94BA7E}" name="Info acquired" dataDxfId="13"/>
    <tableColumn id="8" xr3:uid="{52B9564E-BE5D-467E-B433-AAE28385E1F7}" name="Template" dataDxfId="12"/>
    <tableColumn id="7" xr3:uid="{7CB84653-F8B6-4707-9167-EA77CA0BB8BC}" name="UW Comments" dataDxfId="1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comments" Target="../comments1.xml"/><Relationship Id="rId2" Type="http://schemas.openxmlformats.org/officeDocument/2006/relationships/customProperty" Target="../customProperty16.bin"/><Relationship Id="rId1" Type="http://schemas.openxmlformats.org/officeDocument/2006/relationships/printerSettings" Target="../printerSettings/printerSettings16.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25"/>
  <sheetViews>
    <sheetView topLeftCell="A19" zoomScaleNormal="100" workbookViewId="0">
      <selection activeCell="I19" sqref="I19"/>
    </sheetView>
  </sheetViews>
  <sheetFormatPr defaultColWidth="11.42578125" defaultRowHeight="12.75" x14ac:dyDescent="0.2"/>
  <cols>
    <col min="1" max="1" width="2.85546875" style="115" customWidth="1"/>
    <col min="2" max="2" width="6.85546875" style="115" customWidth="1"/>
    <col min="3" max="3" width="21" style="115" customWidth="1"/>
    <col min="4" max="4" width="11.85546875" style="115" customWidth="1"/>
    <col min="5" max="7" width="13.85546875" style="115" customWidth="1"/>
    <col min="8" max="8" width="10.42578125" style="115" customWidth="1"/>
    <col min="9" max="9" width="11.85546875" style="115" customWidth="1"/>
    <col min="10" max="10" width="7.85546875" style="115" customWidth="1"/>
    <col min="11" max="254" width="11.42578125" style="115"/>
    <col min="255" max="255" width="6.85546875" style="115" customWidth="1"/>
    <col min="256" max="256" width="13.85546875" style="115" customWidth="1"/>
    <col min="257" max="257" width="1.5703125" style="115" customWidth="1"/>
    <col min="258" max="265" width="13.85546875" style="115" customWidth="1"/>
    <col min="266" max="510" width="11.42578125" style="115"/>
    <col min="511" max="511" width="6.85546875" style="115" customWidth="1"/>
    <col min="512" max="512" width="13.85546875" style="115" customWidth="1"/>
    <col min="513" max="513" width="1.5703125" style="115" customWidth="1"/>
    <col min="514" max="521" width="13.85546875" style="115" customWidth="1"/>
    <col min="522" max="766" width="11.42578125" style="115"/>
    <col min="767" max="767" width="6.85546875" style="115" customWidth="1"/>
    <col min="768" max="768" width="13.85546875" style="115" customWidth="1"/>
    <col min="769" max="769" width="1.5703125" style="115" customWidth="1"/>
    <col min="770" max="777" width="13.85546875" style="115" customWidth="1"/>
    <col min="778" max="1022" width="11.42578125" style="115"/>
    <col min="1023" max="1023" width="6.85546875" style="115" customWidth="1"/>
    <col min="1024" max="1024" width="13.85546875" style="115" customWidth="1"/>
    <col min="1025" max="1025" width="1.5703125" style="115" customWidth="1"/>
    <col min="1026" max="1033" width="13.85546875" style="115" customWidth="1"/>
    <col min="1034" max="1278" width="11.42578125" style="115"/>
    <col min="1279" max="1279" width="6.85546875" style="115" customWidth="1"/>
    <col min="1280" max="1280" width="13.85546875" style="115" customWidth="1"/>
    <col min="1281" max="1281" width="1.5703125" style="115" customWidth="1"/>
    <col min="1282" max="1289" width="13.85546875" style="115" customWidth="1"/>
    <col min="1290" max="1534" width="11.42578125" style="115"/>
    <col min="1535" max="1535" width="6.85546875" style="115" customWidth="1"/>
    <col min="1536" max="1536" width="13.85546875" style="115" customWidth="1"/>
    <col min="1537" max="1537" width="1.5703125" style="115" customWidth="1"/>
    <col min="1538" max="1545" width="13.85546875" style="115" customWidth="1"/>
    <col min="1546" max="1790" width="11.42578125" style="115"/>
    <col min="1791" max="1791" width="6.85546875" style="115" customWidth="1"/>
    <col min="1792" max="1792" width="13.85546875" style="115" customWidth="1"/>
    <col min="1793" max="1793" width="1.5703125" style="115" customWidth="1"/>
    <col min="1794" max="1801" width="13.85546875" style="115" customWidth="1"/>
    <col min="1802" max="2046" width="11.42578125" style="115"/>
    <col min="2047" max="2047" width="6.85546875" style="115" customWidth="1"/>
    <col min="2048" max="2048" width="13.85546875" style="115" customWidth="1"/>
    <col min="2049" max="2049" width="1.5703125" style="115" customWidth="1"/>
    <col min="2050" max="2057" width="13.85546875" style="115" customWidth="1"/>
    <col min="2058" max="2302" width="11.42578125" style="115"/>
    <col min="2303" max="2303" width="6.85546875" style="115" customWidth="1"/>
    <col min="2304" max="2304" width="13.85546875" style="115" customWidth="1"/>
    <col min="2305" max="2305" width="1.5703125" style="115" customWidth="1"/>
    <col min="2306" max="2313" width="13.85546875" style="115" customWidth="1"/>
    <col min="2314" max="2558" width="11.42578125" style="115"/>
    <col min="2559" max="2559" width="6.85546875" style="115" customWidth="1"/>
    <col min="2560" max="2560" width="13.85546875" style="115" customWidth="1"/>
    <col min="2561" max="2561" width="1.5703125" style="115" customWidth="1"/>
    <col min="2562" max="2569" width="13.85546875" style="115" customWidth="1"/>
    <col min="2570" max="2814" width="11.42578125" style="115"/>
    <col min="2815" max="2815" width="6.85546875" style="115" customWidth="1"/>
    <col min="2816" max="2816" width="13.85546875" style="115" customWidth="1"/>
    <col min="2817" max="2817" width="1.5703125" style="115" customWidth="1"/>
    <col min="2818" max="2825" width="13.85546875" style="115" customWidth="1"/>
    <col min="2826" max="3070" width="11.42578125" style="115"/>
    <col min="3071" max="3071" width="6.85546875" style="115" customWidth="1"/>
    <col min="3072" max="3072" width="13.85546875" style="115" customWidth="1"/>
    <col min="3073" max="3073" width="1.5703125" style="115" customWidth="1"/>
    <col min="3074" max="3081" width="13.85546875" style="115" customWidth="1"/>
    <col min="3082" max="3326" width="11.42578125" style="115"/>
    <col min="3327" max="3327" width="6.85546875" style="115" customWidth="1"/>
    <col min="3328" max="3328" width="13.85546875" style="115" customWidth="1"/>
    <col min="3329" max="3329" width="1.5703125" style="115" customWidth="1"/>
    <col min="3330" max="3337" width="13.85546875" style="115" customWidth="1"/>
    <col min="3338" max="3582" width="11.42578125" style="115"/>
    <col min="3583" max="3583" width="6.85546875" style="115" customWidth="1"/>
    <col min="3584" max="3584" width="13.85546875" style="115" customWidth="1"/>
    <col min="3585" max="3585" width="1.5703125" style="115" customWidth="1"/>
    <col min="3586" max="3593" width="13.85546875" style="115" customWidth="1"/>
    <col min="3594" max="3838" width="11.42578125" style="115"/>
    <col min="3839" max="3839" width="6.85546875" style="115" customWidth="1"/>
    <col min="3840" max="3840" width="13.85546875" style="115" customWidth="1"/>
    <col min="3841" max="3841" width="1.5703125" style="115" customWidth="1"/>
    <col min="3842" max="3849" width="13.85546875" style="115" customWidth="1"/>
    <col min="3850" max="4094" width="11.42578125" style="115"/>
    <col min="4095" max="4095" width="6.85546875" style="115" customWidth="1"/>
    <col min="4096" max="4096" width="13.85546875" style="115" customWidth="1"/>
    <col min="4097" max="4097" width="1.5703125" style="115" customWidth="1"/>
    <col min="4098" max="4105" width="13.85546875" style="115" customWidth="1"/>
    <col min="4106" max="4350" width="11.42578125" style="115"/>
    <col min="4351" max="4351" width="6.85546875" style="115" customWidth="1"/>
    <col min="4352" max="4352" width="13.85546875" style="115" customWidth="1"/>
    <col min="4353" max="4353" width="1.5703125" style="115" customWidth="1"/>
    <col min="4354" max="4361" width="13.85546875" style="115" customWidth="1"/>
    <col min="4362" max="4606" width="11.42578125" style="115"/>
    <col min="4607" max="4607" width="6.85546875" style="115" customWidth="1"/>
    <col min="4608" max="4608" width="13.85546875" style="115" customWidth="1"/>
    <col min="4609" max="4609" width="1.5703125" style="115" customWidth="1"/>
    <col min="4610" max="4617" width="13.85546875" style="115" customWidth="1"/>
    <col min="4618" max="4862" width="11.42578125" style="115"/>
    <col min="4863" max="4863" width="6.85546875" style="115" customWidth="1"/>
    <col min="4864" max="4864" width="13.85546875" style="115" customWidth="1"/>
    <col min="4865" max="4865" width="1.5703125" style="115" customWidth="1"/>
    <col min="4866" max="4873" width="13.85546875" style="115" customWidth="1"/>
    <col min="4874" max="5118" width="11.42578125" style="115"/>
    <col min="5119" max="5119" width="6.85546875" style="115" customWidth="1"/>
    <col min="5120" max="5120" width="13.85546875" style="115" customWidth="1"/>
    <col min="5121" max="5121" width="1.5703125" style="115" customWidth="1"/>
    <col min="5122" max="5129" width="13.85546875" style="115" customWidth="1"/>
    <col min="5130" max="5374" width="11.42578125" style="115"/>
    <col min="5375" max="5375" width="6.85546875" style="115" customWidth="1"/>
    <col min="5376" max="5376" width="13.85546875" style="115" customWidth="1"/>
    <col min="5377" max="5377" width="1.5703125" style="115" customWidth="1"/>
    <col min="5378" max="5385" width="13.85546875" style="115" customWidth="1"/>
    <col min="5386" max="5630" width="11.42578125" style="115"/>
    <col min="5631" max="5631" width="6.85546875" style="115" customWidth="1"/>
    <col min="5632" max="5632" width="13.85546875" style="115" customWidth="1"/>
    <col min="5633" max="5633" width="1.5703125" style="115" customWidth="1"/>
    <col min="5634" max="5641" width="13.85546875" style="115" customWidth="1"/>
    <col min="5642" max="5886" width="11.42578125" style="115"/>
    <col min="5887" max="5887" width="6.85546875" style="115" customWidth="1"/>
    <col min="5888" max="5888" width="13.85546875" style="115" customWidth="1"/>
    <col min="5889" max="5889" width="1.5703125" style="115" customWidth="1"/>
    <col min="5890" max="5897" width="13.85546875" style="115" customWidth="1"/>
    <col min="5898" max="6142" width="11.42578125" style="115"/>
    <col min="6143" max="6143" width="6.85546875" style="115" customWidth="1"/>
    <col min="6144" max="6144" width="13.85546875" style="115" customWidth="1"/>
    <col min="6145" max="6145" width="1.5703125" style="115" customWidth="1"/>
    <col min="6146" max="6153" width="13.85546875" style="115" customWidth="1"/>
    <col min="6154" max="6398" width="11.42578125" style="115"/>
    <col min="6399" max="6399" width="6.85546875" style="115" customWidth="1"/>
    <col min="6400" max="6400" width="13.85546875" style="115" customWidth="1"/>
    <col min="6401" max="6401" width="1.5703125" style="115" customWidth="1"/>
    <col min="6402" max="6409" width="13.85546875" style="115" customWidth="1"/>
    <col min="6410" max="6654" width="11.42578125" style="115"/>
    <col min="6655" max="6655" width="6.85546875" style="115" customWidth="1"/>
    <col min="6656" max="6656" width="13.85546875" style="115" customWidth="1"/>
    <col min="6657" max="6657" width="1.5703125" style="115" customWidth="1"/>
    <col min="6658" max="6665" width="13.85546875" style="115" customWidth="1"/>
    <col min="6666" max="6910" width="11.42578125" style="115"/>
    <col min="6911" max="6911" width="6.85546875" style="115" customWidth="1"/>
    <col min="6912" max="6912" width="13.85546875" style="115" customWidth="1"/>
    <col min="6913" max="6913" width="1.5703125" style="115" customWidth="1"/>
    <col min="6914" max="6921" width="13.85546875" style="115" customWidth="1"/>
    <col min="6922" max="7166" width="11.42578125" style="115"/>
    <col min="7167" max="7167" width="6.85546875" style="115" customWidth="1"/>
    <col min="7168" max="7168" width="13.85546875" style="115" customWidth="1"/>
    <col min="7169" max="7169" width="1.5703125" style="115" customWidth="1"/>
    <col min="7170" max="7177" width="13.85546875" style="115" customWidth="1"/>
    <col min="7178" max="7422" width="11.42578125" style="115"/>
    <col min="7423" max="7423" width="6.85546875" style="115" customWidth="1"/>
    <col min="7424" max="7424" width="13.85546875" style="115" customWidth="1"/>
    <col min="7425" max="7425" width="1.5703125" style="115" customWidth="1"/>
    <col min="7426" max="7433" width="13.85546875" style="115" customWidth="1"/>
    <col min="7434" max="7678" width="11.42578125" style="115"/>
    <col min="7679" max="7679" width="6.85546875" style="115" customWidth="1"/>
    <col min="7680" max="7680" width="13.85546875" style="115" customWidth="1"/>
    <col min="7681" max="7681" width="1.5703125" style="115" customWidth="1"/>
    <col min="7682" max="7689" width="13.85546875" style="115" customWidth="1"/>
    <col min="7690" max="7934" width="11.42578125" style="115"/>
    <col min="7935" max="7935" width="6.85546875" style="115" customWidth="1"/>
    <col min="7936" max="7936" width="13.85546875" style="115" customWidth="1"/>
    <col min="7937" max="7937" width="1.5703125" style="115" customWidth="1"/>
    <col min="7938" max="7945" width="13.85546875" style="115" customWidth="1"/>
    <col min="7946" max="8190" width="11.42578125" style="115"/>
    <col min="8191" max="8191" width="6.85546875" style="115" customWidth="1"/>
    <col min="8192" max="8192" width="13.85546875" style="115" customWidth="1"/>
    <col min="8193" max="8193" width="1.5703125" style="115" customWidth="1"/>
    <col min="8194" max="8201" width="13.85546875" style="115" customWidth="1"/>
    <col min="8202" max="8446" width="11.42578125" style="115"/>
    <col min="8447" max="8447" width="6.85546875" style="115" customWidth="1"/>
    <col min="8448" max="8448" width="13.85546875" style="115" customWidth="1"/>
    <col min="8449" max="8449" width="1.5703125" style="115" customWidth="1"/>
    <col min="8450" max="8457" width="13.85546875" style="115" customWidth="1"/>
    <col min="8458" max="8702" width="11.42578125" style="115"/>
    <col min="8703" max="8703" width="6.85546875" style="115" customWidth="1"/>
    <col min="8704" max="8704" width="13.85546875" style="115" customWidth="1"/>
    <col min="8705" max="8705" width="1.5703125" style="115" customWidth="1"/>
    <col min="8706" max="8713" width="13.85546875" style="115" customWidth="1"/>
    <col min="8714" max="8958" width="11.42578125" style="115"/>
    <col min="8959" max="8959" width="6.85546875" style="115" customWidth="1"/>
    <col min="8960" max="8960" width="13.85546875" style="115" customWidth="1"/>
    <col min="8961" max="8961" width="1.5703125" style="115" customWidth="1"/>
    <col min="8962" max="8969" width="13.85546875" style="115" customWidth="1"/>
    <col min="8970" max="9214" width="11.42578125" style="115"/>
    <col min="9215" max="9215" width="6.85546875" style="115" customWidth="1"/>
    <col min="9216" max="9216" width="13.85546875" style="115" customWidth="1"/>
    <col min="9217" max="9217" width="1.5703125" style="115" customWidth="1"/>
    <col min="9218" max="9225" width="13.85546875" style="115" customWidth="1"/>
    <col min="9226" max="9470" width="11.42578125" style="115"/>
    <col min="9471" max="9471" width="6.85546875" style="115" customWidth="1"/>
    <col min="9472" max="9472" width="13.85546875" style="115" customWidth="1"/>
    <col min="9473" max="9473" width="1.5703125" style="115" customWidth="1"/>
    <col min="9474" max="9481" width="13.85546875" style="115" customWidth="1"/>
    <col min="9482" max="9726" width="11.42578125" style="115"/>
    <col min="9727" max="9727" width="6.85546875" style="115" customWidth="1"/>
    <col min="9728" max="9728" width="13.85546875" style="115" customWidth="1"/>
    <col min="9729" max="9729" width="1.5703125" style="115" customWidth="1"/>
    <col min="9730" max="9737" width="13.85546875" style="115" customWidth="1"/>
    <col min="9738" max="9982" width="11.42578125" style="115"/>
    <col min="9983" max="9983" width="6.85546875" style="115" customWidth="1"/>
    <col min="9984" max="9984" width="13.85546875" style="115" customWidth="1"/>
    <col min="9985" max="9985" width="1.5703125" style="115" customWidth="1"/>
    <col min="9986" max="9993" width="13.85546875" style="115" customWidth="1"/>
    <col min="9994" max="10238" width="11.42578125" style="115"/>
    <col min="10239" max="10239" width="6.85546875" style="115" customWidth="1"/>
    <col min="10240" max="10240" width="13.85546875" style="115" customWidth="1"/>
    <col min="10241" max="10241" width="1.5703125" style="115" customWidth="1"/>
    <col min="10242" max="10249" width="13.85546875" style="115" customWidth="1"/>
    <col min="10250" max="10494" width="11.42578125" style="115"/>
    <col min="10495" max="10495" width="6.85546875" style="115" customWidth="1"/>
    <col min="10496" max="10496" width="13.85546875" style="115" customWidth="1"/>
    <col min="10497" max="10497" width="1.5703125" style="115" customWidth="1"/>
    <col min="10498" max="10505" width="13.85546875" style="115" customWidth="1"/>
    <col min="10506" max="10750" width="11.42578125" style="115"/>
    <col min="10751" max="10751" width="6.85546875" style="115" customWidth="1"/>
    <col min="10752" max="10752" width="13.85546875" style="115" customWidth="1"/>
    <col min="10753" max="10753" width="1.5703125" style="115" customWidth="1"/>
    <col min="10754" max="10761" width="13.85546875" style="115" customWidth="1"/>
    <col min="10762" max="11006" width="11.42578125" style="115"/>
    <col min="11007" max="11007" width="6.85546875" style="115" customWidth="1"/>
    <col min="11008" max="11008" width="13.85546875" style="115" customWidth="1"/>
    <col min="11009" max="11009" width="1.5703125" style="115" customWidth="1"/>
    <col min="11010" max="11017" width="13.85546875" style="115" customWidth="1"/>
    <col min="11018" max="11262" width="11.42578125" style="115"/>
    <col min="11263" max="11263" width="6.85546875" style="115" customWidth="1"/>
    <col min="11264" max="11264" width="13.85546875" style="115" customWidth="1"/>
    <col min="11265" max="11265" width="1.5703125" style="115" customWidth="1"/>
    <col min="11266" max="11273" width="13.85546875" style="115" customWidth="1"/>
    <col min="11274" max="11518" width="11.42578125" style="115"/>
    <col min="11519" max="11519" width="6.85546875" style="115" customWidth="1"/>
    <col min="11520" max="11520" width="13.85546875" style="115" customWidth="1"/>
    <col min="11521" max="11521" width="1.5703125" style="115" customWidth="1"/>
    <col min="11522" max="11529" width="13.85546875" style="115" customWidth="1"/>
    <col min="11530" max="11774" width="11.42578125" style="115"/>
    <col min="11775" max="11775" width="6.85546875" style="115" customWidth="1"/>
    <col min="11776" max="11776" width="13.85546875" style="115" customWidth="1"/>
    <col min="11777" max="11777" width="1.5703125" style="115" customWidth="1"/>
    <col min="11778" max="11785" width="13.85546875" style="115" customWidth="1"/>
    <col min="11786" max="12030" width="11.42578125" style="115"/>
    <col min="12031" max="12031" width="6.85546875" style="115" customWidth="1"/>
    <col min="12032" max="12032" width="13.85546875" style="115" customWidth="1"/>
    <col min="12033" max="12033" width="1.5703125" style="115" customWidth="1"/>
    <col min="12034" max="12041" width="13.85546875" style="115" customWidth="1"/>
    <col min="12042" max="12286" width="11.42578125" style="115"/>
    <col min="12287" max="12287" width="6.85546875" style="115" customWidth="1"/>
    <col min="12288" max="12288" width="13.85546875" style="115" customWidth="1"/>
    <col min="12289" max="12289" width="1.5703125" style="115" customWidth="1"/>
    <col min="12290" max="12297" width="13.85546875" style="115" customWidth="1"/>
    <col min="12298" max="12542" width="11.42578125" style="115"/>
    <col min="12543" max="12543" width="6.85546875" style="115" customWidth="1"/>
    <col min="12544" max="12544" width="13.85546875" style="115" customWidth="1"/>
    <col min="12545" max="12545" width="1.5703125" style="115" customWidth="1"/>
    <col min="12546" max="12553" width="13.85546875" style="115" customWidth="1"/>
    <col min="12554" max="12798" width="11.42578125" style="115"/>
    <col min="12799" max="12799" width="6.85546875" style="115" customWidth="1"/>
    <col min="12800" max="12800" width="13.85546875" style="115" customWidth="1"/>
    <col min="12801" max="12801" width="1.5703125" style="115" customWidth="1"/>
    <col min="12802" max="12809" width="13.85546875" style="115" customWidth="1"/>
    <col min="12810" max="13054" width="11.42578125" style="115"/>
    <col min="13055" max="13055" width="6.85546875" style="115" customWidth="1"/>
    <col min="13056" max="13056" width="13.85546875" style="115" customWidth="1"/>
    <col min="13057" max="13057" width="1.5703125" style="115" customWidth="1"/>
    <col min="13058" max="13065" width="13.85546875" style="115" customWidth="1"/>
    <col min="13066" max="13310" width="11.42578125" style="115"/>
    <col min="13311" max="13311" width="6.85546875" style="115" customWidth="1"/>
    <col min="13312" max="13312" width="13.85546875" style="115" customWidth="1"/>
    <col min="13313" max="13313" width="1.5703125" style="115" customWidth="1"/>
    <col min="13314" max="13321" width="13.85546875" style="115" customWidth="1"/>
    <col min="13322" max="13566" width="11.42578125" style="115"/>
    <col min="13567" max="13567" width="6.85546875" style="115" customWidth="1"/>
    <col min="13568" max="13568" width="13.85546875" style="115" customWidth="1"/>
    <col min="13569" max="13569" width="1.5703125" style="115" customWidth="1"/>
    <col min="13570" max="13577" width="13.85546875" style="115" customWidth="1"/>
    <col min="13578" max="13822" width="11.42578125" style="115"/>
    <col min="13823" max="13823" width="6.85546875" style="115" customWidth="1"/>
    <col min="13824" max="13824" width="13.85546875" style="115" customWidth="1"/>
    <col min="13825" max="13825" width="1.5703125" style="115" customWidth="1"/>
    <col min="13826" max="13833" width="13.85546875" style="115" customWidth="1"/>
    <col min="13834" max="14078" width="11.42578125" style="115"/>
    <col min="14079" max="14079" width="6.85546875" style="115" customWidth="1"/>
    <col min="14080" max="14080" width="13.85546875" style="115" customWidth="1"/>
    <col min="14081" max="14081" width="1.5703125" style="115" customWidth="1"/>
    <col min="14082" max="14089" width="13.85546875" style="115" customWidth="1"/>
    <col min="14090" max="14334" width="11.42578125" style="115"/>
    <col min="14335" max="14335" width="6.85546875" style="115" customWidth="1"/>
    <col min="14336" max="14336" width="13.85546875" style="115" customWidth="1"/>
    <col min="14337" max="14337" width="1.5703125" style="115" customWidth="1"/>
    <col min="14338" max="14345" width="13.85546875" style="115" customWidth="1"/>
    <col min="14346" max="14590" width="11.42578125" style="115"/>
    <col min="14591" max="14591" width="6.85546875" style="115" customWidth="1"/>
    <col min="14592" max="14592" width="13.85546875" style="115" customWidth="1"/>
    <col min="14593" max="14593" width="1.5703125" style="115" customWidth="1"/>
    <col min="14594" max="14601" width="13.85546875" style="115" customWidth="1"/>
    <col min="14602" max="14846" width="11.42578125" style="115"/>
    <col min="14847" max="14847" width="6.85546875" style="115" customWidth="1"/>
    <col min="14848" max="14848" width="13.85546875" style="115" customWidth="1"/>
    <col min="14849" max="14849" width="1.5703125" style="115" customWidth="1"/>
    <col min="14850" max="14857" width="13.85546875" style="115" customWidth="1"/>
    <col min="14858" max="15102" width="11.42578125" style="115"/>
    <col min="15103" max="15103" width="6.85546875" style="115" customWidth="1"/>
    <col min="15104" max="15104" width="13.85546875" style="115" customWidth="1"/>
    <col min="15105" max="15105" width="1.5703125" style="115" customWidth="1"/>
    <col min="15106" max="15113" width="13.85546875" style="115" customWidth="1"/>
    <col min="15114" max="15358" width="11.42578125" style="115"/>
    <col min="15359" max="15359" width="6.85546875" style="115" customWidth="1"/>
    <col min="15360" max="15360" width="13.85546875" style="115" customWidth="1"/>
    <col min="15361" max="15361" width="1.5703125" style="115" customWidth="1"/>
    <col min="15362" max="15369" width="13.85546875" style="115" customWidth="1"/>
    <col min="15370" max="15614" width="11.42578125" style="115"/>
    <col min="15615" max="15615" width="6.85546875" style="115" customWidth="1"/>
    <col min="15616" max="15616" width="13.85546875" style="115" customWidth="1"/>
    <col min="15617" max="15617" width="1.5703125" style="115" customWidth="1"/>
    <col min="15618" max="15625" width="13.85546875" style="115" customWidth="1"/>
    <col min="15626" max="15870" width="11.42578125" style="115"/>
    <col min="15871" max="15871" width="6.85546875" style="115" customWidth="1"/>
    <col min="15872" max="15872" width="13.85546875" style="115" customWidth="1"/>
    <col min="15873" max="15873" width="1.5703125" style="115" customWidth="1"/>
    <col min="15874" max="15881" width="13.85546875" style="115" customWidth="1"/>
    <col min="15882" max="16126" width="11.42578125" style="115"/>
    <col min="16127" max="16127" width="6.85546875" style="115" customWidth="1"/>
    <col min="16128" max="16128" width="13.85546875" style="115" customWidth="1"/>
    <col min="16129" max="16129" width="1.5703125" style="115" customWidth="1"/>
    <col min="16130" max="16137" width="13.85546875" style="115" customWidth="1"/>
    <col min="16138" max="16384" width="11.42578125" style="115"/>
  </cols>
  <sheetData>
    <row r="1" spans="1:11" ht="13.5" thickBot="1" x14ac:dyDescent="0.25"/>
    <row r="2" spans="1:11" ht="47.1" customHeight="1" thickBot="1" x14ac:dyDescent="0.25">
      <c r="A2" s="115" t="s">
        <v>0</v>
      </c>
      <c r="B2" s="437" t="s">
        <v>1</v>
      </c>
      <c r="C2" s="438"/>
      <c r="D2" s="438"/>
      <c r="E2" s="438"/>
      <c r="F2" s="438"/>
      <c r="G2" s="438"/>
      <c r="H2" s="438"/>
      <c r="I2" s="439"/>
    </row>
    <row r="3" spans="1:11" s="114" customFormat="1" x14ac:dyDescent="0.2"/>
    <row r="4" spans="1:11" s="114" customFormat="1" ht="14.45" customHeight="1" x14ac:dyDescent="0.2">
      <c r="C4" s="118" t="s">
        <v>2</v>
      </c>
      <c r="D4" s="431" t="s">
        <v>360</v>
      </c>
      <c r="E4" s="432"/>
      <c r="F4" s="432"/>
      <c r="G4" s="433"/>
      <c r="H4" s="119"/>
      <c r="K4" s="113"/>
    </row>
    <row r="5" spans="1:11" s="114" customFormat="1" ht="14.45" customHeight="1" x14ac:dyDescent="0.2">
      <c r="C5" s="118" t="s">
        <v>3</v>
      </c>
      <c r="D5" s="431" t="s">
        <v>189</v>
      </c>
      <c r="E5" s="432"/>
      <c r="F5" s="432"/>
      <c r="G5" s="433"/>
      <c r="H5" s="119"/>
    </row>
    <row r="6" spans="1:11" s="114" customFormat="1" ht="14.45" customHeight="1" x14ac:dyDescent="0.2">
      <c r="C6" s="118" t="s">
        <v>4</v>
      </c>
      <c r="D6" s="431" t="s">
        <v>188</v>
      </c>
      <c r="E6" s="432"/>
      <c r="F6" s="432"/>
      <c r="G6" s="433"/>
      <c r="H6" s="119"/>
    </row>
    <row r="7" spans="1:11" s="114" customFormat="1" ht="14.45" customHeight="1" x14ac:dyDescent="0.2">
      <c r="H7" s="119"/>
    </row>
    <row r="8" spans="1:11" s="114" customFormat="1" ht="14.45" customHeight="1" x14ac:dyDescent="0.2">
      <c r="C8" s="118" t="s">
        <v>5</v>
      </c>
      <c r="D8" s="431"/>
      <c r="E8" s="432"/>
      <c r="F8" s="432"/>
      <c r="G8" s="433"/>
      <c r="H8" s="119" t="s">
        <v>6</v>
      </c>
    </row>
    <row r="9" spans="1:11" s="114" customFormat="1" ht="14.45" customHeight="1" x14ac:dyDescent="0.2">
      <c r="C9" s="118" t="s">
        <v>7</v>
      </c>
      <c r="D9" s="431"/>
      <c r="E9" s="432"/>
      <c r="F9" s="432"/>
      <c r="G9" s="433"/>
      <c r="H9" s="119" t="s">
        <v>6</v>
      </c>
    </row>
    <row r="10" spans="1:11" s="114" customFormat="1" ht="14.45" customHeight="1" x14ac:dyDescent="0.2">
      <c r="H10" s="119"/>
    </row>
    <row r="11" spans="1:11" s="114" customFormat="1" ht="14.45" customHeight="1" x14ac:dyDescent="0.2">
      <c r="C11" s="118" t="s">
        <v>8</v>
      </c>
      <c r="D11" s="434">
        <v>46023</v>
      </c>
      <c r="E11" s="435"/>
      <c r="F11" s="435"/>
      <c r="G11" s="436"/>
      <c r="H11" s="119" t="s">
        <v>195</v>
      </c>
    </row>
    <row r="12" spans="1:11" s="114" customFormat="1" ht="14.45" customHeight="1" x14ac:dyDescent="0.2">
      <c r="C12" s="118" t="s">
        <v>9</v>
      </c>
      <c r="D12" s="434"/>
      <c r="E12" s="435"/>
      <c r="F12" s="435"/>
      <c r="G12" s="436"/>
      <c r="H12" s="119" t="s">
        <v>194</v>
      </c>
    </row>
    <row r="13" spans="1:11" s="114" customFormat="1" ht="14.45" customHeight="1" x14ac:dyDescent="0.2">
      <c r="C13" s="118" t="s">
        <v>10</v>
      </c>
      <c r="D13" s="440"/>
      <c r="E13" s="440"/>
      <c r="F13" s="440"/>
      <c r="G13" s="440"/>
      <c r="H13" s="119"/>
    </row>
    <row r="14" spans="1:11" s="114" customFormat="1" ht="14.45" customHeight="1" x14ac:dyDescent="0.2">
      <c r="C14" s="173"/>
      <c r="D14" s="173"/>
      <c r="H14" s="119"/>
    </row>
    <row r="15" spans="1:11" s="114" customFormat="1" ht="14.45" customHeight="1" x14ac:dyDescent="0.2">
      <c r="C15" s="118" t="s">
        <v>11</v>
      </c>
      <c r="D15" s="431" t="s">
        <v>182</v>
      </c>
      <c r="E15" s="432"/>
      <c r="F15" s="432"/>
      <c r="G15" s="433"/>
      <c r="H15" s="119"/>
    </row>
    <row r="16" spans="1:11" s="114" customFormat="1" ht="14.45" customHeight="1" x14ac:dyDescent="0.2">
      <c r="C16" s="118" t="s">
        <v>12</v>
      </c>
      <c r="D16" s="431" t="s">
        <v>359</v>
      </c>
      <c r="E16" s="432"/>
      <c r="F16" s="432"/>
      <c r="G16" s="433"/>
      <c r="H16" s="119" t="s">
        <v>193</v>
      </c>
    </row>
    <row r="17" spans="1:14" s="114" customFormat="1" ht="14.45" customHeight="1" x14ac:dyDescent="0.2">
      <c r="C17" s="118" t="s">
        <v>13</v>
      </c>
      <c r="D17" s="431" t="s">
        <v>187</v>
      </c>
      <c r="E17" s="432"/>
      <c r="F17" s="432"/>
      <c r="G17" s="433"/>
      <c r="H17" s="119"/>
    </row>
    <row r="18" spans="1:14" s="114" customFormat="1" ht="14.45" customHeight="1" x14ac:dyDescent="0.2"/>
    <row r="19" spans="1:14" ht="80.099999999999994" customHeight="1" x14ac:dyDescent="0.2">
      <c r="C19" s="179" t="s">
        <v>14</v>
      </c>
      <c r="D19" s="441"/>
      <c r="E19" s="441"/>
      <c r="F19" s="441"/>
      <c r="G19" s="441"/>
    </row>
    <row r="20" spans="1:14" s="114" customFormat="1" ht="14.45" customHeight="1" x14ac:dyDescent="0.2">
      <c r="A20" s="115"/>
      <c r="B20" s="115"/>
      <c r="C20" s="115"/>
      <c r="D20" s="115"/>
      <c r="E20" s="115"/>
      <c r="F20" s="115"/>
      <c r="G20" s="115"/>
      <c r="H20" s="115"/>
      <c r="I20" s="115"/>
      <c r="J20" s="115"/>
      <c r="K20" s="115"/>
    </row>
    <row r="21" spans="1:14" s="114" customFormat="1" ht="14.45" customHeight="1" x14ac:dyDescent="0.2">
      <c r="A21" s="115"/>
      <c r="B21" s="115"/>
      <c r="C21" s="115"/>
      <c r="D21" s="115"/>
      <c r="E21" s="115"/>
      <c r="F21" s="115"/>
      <c r="G21" s="115"/>
      <c r="H21" s="115"/>
      <c r="I21" s="115"/>
      <c r="J21" s="115"/>
      <c r="K21" s="115"/>
    </row>
    <row r="22" spans="1:14" s="114" customFormat="1" ht="14.45" customHeight="1" x14ac:dyDescent="0.2">
      <c r="A22" s="115"/>
      <c r="B22" s="115"/>
      <c r="C22" s="115"/>
      <c r="D22" s="115"/>
      <c r="E22" s="115"/>
      <c r="F22" s="115"/>
      <c r="G22" s="115"/>
      <c r="H22" s="115"/>
      <c r="I22" s="115"/>
      <c r="J22" s="115"/>
      <c r="K22" s="115"/>
    </row>
    <row r="23" spans="1:14" s="114" customFormat="1" ht="14.45" customHeight="1" thickBot="1" x14ac:dyDescent="0.25">
      <c r="A23" s="115"/>
      <c r="B23" s="115"/>
      <c r="C23" s="115"/>
      <c r="D23" s="115"/>
      <c r="E23" s="115"/>
      <c r="F23" s="115"/>
      <c r="G23" s="115"/>
      <c r="H23" s="115"/>
      <c r="I23" s="115"/>
      <c r="J23" s="115"/>
      <c r="K23" s="115"/>
    </row>
    <row r="24" spans="1:14" ht="13.35" customHeight="1" x14ac:dyDescent="0.2">
      <c r="B24" s="425" t="s">
        <v>101</v>
      </c>
      <c r="C24" s="426"/>
      <c r="D24" s="426"/>
      <c r="E24" s="426"/>
      <c r="F24" s="426"/>
      <c r="G24" s="426"/>
      <c r="H24" s="426"/>
      <c r="I24" s="426"/>
      <c r="J24" s="426"/>
      <c r="K24" s="426"/>
      <c r="L24" s="426"/>
      <c r="M24" s="426"/>
      <c r="N24" s="427"/>
    </row>
    <row r="25" spans="1:14" ht="72" customHeight="1" thickBot="1" x14ac:dyDescent="0.25">
      <c r="B25" s="428" t="s">
        <v>102</v>
      </c>
      <c r="C25" s="429"/>
      <c r="D25" s="429"/>
      <c r="E25" s="429"/>
      <c r="F25" s="429"/>
      <c r="G25" s="429"/>
      <c r="H25" s="429"/>
      <c r="I25" s="429"/>
      <c r="J25" s="429"/>
      <c r="K25" s="429"/>
      <c r="L25" s="429"/>
      <c r="M25" s="429"/>
      <c r="N25" s="430"/>
    </row>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2">
    <dataValidation type="date" allowBlank="1" showInputMessage="1" showErrorMessage="1" sqref="D11:G12" xr:uid="{AF23CC8F-4A47-4CBA-902D-CFA49F8FDB83}">
      <formula1>43831</formula1>
      <formula2>47848</formula2>
    </dataValidation>
    <dataValidation type="list" allowBlank="1" showInputMessage="1" showErrorMessage="1" sqref="D8:G9 D17:G17 D13:G13 D15:G15 D5:D6" xr:uid="{2D0B5EC7-5C17-48E7-B54C-7A51B36E6FD6}">
      <formula1>#REF!</formula1>
    </dataValidation>
  </dataValidations>
  <pageMargins left="0.7" right="0.7" top="0.75" bottom="0.75" header="0.3" footer="0.3"/>
  <pageSetup paperSize="9" orientation="portrait" r:id="rId1"/>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85546875" style="114" customWidth="1"/>
    <col min="2" max="2" width="12.5703125" style="114" customWidth="1"/>
    <col min="3" max="3" width="104.140625" style="114" customWidth="1"/>
    <col min="4" max="4" width="31" style="168" customWidth="1"/>
    <col min="5" max="5" width="20.140625" style="114" customWidth="1"/>
    <col min="6" max="6" width="62.42578125" style="168" customWidth="1"/>
    <col min="7" max="7" width="17.85546875" style="114" customWidth="1"/>
    <col min="8" max="8" width="14.5703125" style="114" bestFit="1" customWidth="1"/>
    <col min="9" max="9" width="19.42578125" style="114" bestFit="1" customWidth="1"/>
    <col min="10" max="10" width="7.85546875" style="114" customWidth="1"/>
    <col min="11" max="16384" width="8.85546875" style="114"/>
  </cols>
  <sheetData>
    <row r="1" spans="2:9" ht="13.5" thickBot="1" x14ac:dyDescent="0.25"/>
    <row r="2" spans="2:9" ht="47.45" customHeight="1" thickBot="1" x14ac:dyDescent="0.25">
      <c r="B2" s="442" t="s">
        <v>15</v>
      </c>
      <c r="C2" s="443"/>
      <c r="D2" s="443"/>
      <c r="E2" s="443"/>
      <c r="F2" s="443"/>
      <c r="G2" s="443"/>
      <c r="H2" s="443"/>
      <c r="I2" s="444"/>
    </row>
    <row r="3" spans="2:9" ht="13.5" thickBot="1" x14ac:dyDescent="0.25"/>
    <row r="4" spans="2:9" ht="36" customHeight="1" x14ac:dyDescent="0.2">
      <c r="B4" s="445" t="s">
        <v>17</v>
      </c>
      <c r="C4" s="446"/>
      <c r="D4" s="446"/>
      <c r="E4" s="446"/>
      <c r="F4" s="446"/>
      <c r="G4" s="446"/>
      <c r="H4" s="446"/>
      <c r="I4" s="447"/>
    </row>
    <row r="5" spans="2:9" ht="25.5" customHeight="1" thickBot="1" x14ac:dyDescent="0.25">
      <c r="B5" s="185" t="s">
        <v>18</v>
      </c>
      <c r="C5" s="186" t="s">
        <v>19</v>
      </c>
      <c r="D5" s="187" t="s">
        <v>20</v>
      </c>
      <c r="E5" s="186" t="s">
        <v>21</v>
      </c>
      <c r="F5" s="187" t="s">
        <v>22</v>
      </c>
      <c r="G5" s="186" t="s">
        <v>23</v>
      </c>
      <c r="H5" s="186" t="s">
        <v>24</v>
      </c>
      <c r="I5" s="188" t="s">
        <v>25</v>
      </c>
    </row>
    <row r="6" spans="2:9" ht="76.5" customHeight="1" x14ac:dyDescent="0.2">
      <c r="B6" s="126">
        <v>1</v>
      </c>
      <c r="C6" s="97" t="s">
        <v>26</v>
      </c>
      <c r="D6" s="97" t="s">
        <v>27</v>
      </c>
      <c r="E6" s="97"/>
      <c r="F6" s="97"/>
      <c r="G6" s="177" t="s">
        <v>28</v>
      </c>
      <c r="H6" s="189" t="s">
        <v>29</v>
      </c>
      <c r="I6" s="127"/>
    </row>
    <row r="7" spans="2:9" ht="76.5" customHeight="1" x14ac:dyDescent="0.2">
      <c r="B7" s="99">
        <f>B6+1</f>
        <v>2</v>
      </c>
      <c r="C7" s="98" t="s">
        <v>30</v>
      </c>
      <c r="D7" s="98" t="s">
        <v>31</v>
      </c>
      <c r="E7" s="98" t="s">
        <v>32</v>
      </c>
      <c r="F7" s="98" t="s">
        <v>33</v>
      </c>
      <c r="G7" s="174" t="s">
        <v>28</v>
      </c>
      <c r="H7" s="184" t="s">
        <v>34</v>
      </c>
      <c r="I7" s="100"/>
    </row>
    <row r="8" spans="2:9" ht="76.5" customHeight="1" x14ac:dyDescent="0.2">
      <c r="B8" s="99">
        <f t="shared" ref="B8:B10" si="0">B7+1</f>
        <v>3</v>
      </c>
      <c r="C8" s="98" t="s">
        <v>35</v>
      </c>
      <c r="D8" s="98" t="s">
        <v>31</v>
      </c>
      <c r="E8" s="98" t="s">
        <v>36</v>
      </c>
      <c r="F8" s="98"/>
      <c r="G8" s="174" t="s">
        <v>28</v>
      </c>
      <c r="H8" s="184" t="s">
        <v>37</v>
      </c>
      <c r="I8" s="100"/>
    </row>
    <row r="9" spans="2:9" ht="76.5" customHeight="1" x14ac:dyDescent="0.2">
      <c r="B9" s="99">
        <f t="shared" si="0"/>
        <v>4</v>
      </c>
      <c r="C9" s="98" t="s">
        <v>38</v>
      </c>
      <c r="D9" s="98" t="s">
        <v>31</v>
      </c>
      <c r="E9" s="98" t="s">
        <v>39</v>
      </c>
      <c r="F9" s="98"/>
      <c r="G9" s="174" t="s">
        <v>28</v>
      </c>
      <c r="H9" s="184" t="s">
        <v>40</v>
      </c>
      <c r="I9" s="100"/>
    </row>
    <row r="10" spans="2:9" ht="76.5" customHeight="1" x14ac:dyDescent="0.2">
      <c r="B10" s="99">
        <f t="shared" si="0"/>
        <v>5</v>
      </c>
      <c r="C10" s="98" t="s">
        <v>41</v>
      </c>
      <c r="D10" s="98" t="s">
        <v>31</v>
      </c>
      <c r="E10" s="98" t="s">
        <v>42</v>
      </c>
      <c r="F10" s="98" t="s">
        <v>43</v>
      </c>
      <c r="G10" s="174" t="s">
        <v>28</v>
      </c>
      <c r="H10" s="184" t="s">
        <v>44</v>
      </c>
      <c r="I10" s="100"/>
    </row>
    <row r="11" spans="2:9" ht="76.5" customHeight="1" x14ac:dyDescent="0.2">
      <c r="B11" s="99">
        <f t="shared" ref="B11:B12" si="1">B10+1</f>
        <v>6</v>
      </c>
      <c r="C11" s="98" t="s">
        <v>45</v>
      </c>
      <c r="D11" s="98" t="s">
        <v>31</v>
      </c>
      <c r="E11" s="98" t="s">
        <v>46</v>
      </c>
      <c r="F11" s="98"/>
      <c r="G11" s="174" t="s">
        <v>28</v>
      </c>
      <c r="H11" s="183" t="s">
        <v>47</v>
      </c>
      <c r="I11" s="100"/>
    </row>
    <row r="12" spans="2:9" ht="76.5" customHeight="1" x14ac:dyDescent="0.2">
      <c r="B12" s="99">
        <f t="shared" si="1"/>
        <v>7</v>
      </c>
      <c r="C12" s="98" t="s">
        <v>48</v>
      </c>
      <c r="D12" s="98" t="s">
        <v>49</v>
      </c>
      <c r="E12" s="98" t="s">
        <v>46</v>
      </c>
      <c r="F12" s="98"/>
      <c r="G12" s="174" t="s">
        <v>28</v>
      </c>
      <c r="H12" s="184" t="s">
        <v>50</v>
      </c>
      <c r="I12" s="100"/>
    </row>
    <row r="13" spans="2:9" ht="76.5" customHeight="1" x14ac:dyDescent="0.2">
      <c r="B13" s="99">
        <f t="shared" ref="B13:B16" si="2">B12+1</f>
        <v>8</v>
      </c>
      <c r="C13" s="98" t="s">
        <v>51</v>
      </c>
      <c r="D13" s="98" t="s">
        <v>52</v>
      </c>
      <c r="E13" s="98" t="s">
        <v>53</v>
      </c>
      <c r="F13" s="98" t="s">
        <v>54</v>
      </c>
      <c r="G13" s="174" t="s">
        <v>28</v>
      </c>
      <c r="H13" s="184" t="s">
        <v>55</v>
      </c>
      <c r="I13" s="176"/>
    </row>
    <row r="14" spans="2:9" ht="76.5" customHeight="1" x14ac:dyDescent="0.2">
      <c r="B14" s="99">
        <f t="shared" si="2"/>
        <v>9</v>
      </c>
      <c r="C14" s="98" t="s">
        <v>56</v>
      </c>
      <c r="D14" s="98" t="s">
        <v>49</v>
      </c>
      <c r="E14" s="98" t="s">
        <v>46</v>
      </c>
      <c r="F14" s="98"/>
      <c r="G14" s="174" t="s">
        <v>28</v>
      </c>
      <c r="H14" s="184" t="s">
        <v>57</v>
      </c>
      <c r="I14" s="100"/>
    </row>
    <row r="15" spans="2:9" ht="76.5" customHeight="1" x14ac:dyDescent="0.2">
      <c r="B15" s="99">
        <f t="shared" si="2"/>
        <v>10</v>
      </c>
      <c r="C15" s="98" t="s">
        <v>58</v>
      </c>
      <c r="D15" s="98" t="s">
        <v>31</v>
      </c>
      <c r="E15" s="98" t="s">
        <v>59</v>
      </c>
      <c r="F15" s="98"/>
      <c r="G15" s="174" t="s">
        <v>28</v>
      </c>
      <c r="H15" s="183" t="s">
        <v>60</v>
      </c>
      <c r="I15" s="100"/>
    </row>
    <row r="16" spans="2:9" ht="76.5" customHeight="1" x14ac:dyDescent="0.2">
      <c r="B16" s="99">
        <f t="shared" si="2"/>
        <v>11</v>
      </c>
      <c r="C16" s="98" t="s">
        <v>61</v>
      </c>
      <c r="D16" s="98" t="s">
        <v>31</v>
      </c>
      <c r="E16" s="98" t="s">
        <v>59</v>
      </c>
      <c r="F16" s="98" t="s">
        <v>62</v>
      </c>
      <c r="G16" s="174" t="s">
        <v>28</v>
      </c>
      <c r="H16" s="184" t="s">
        <v>63</v>
      </c>
      <c r="I16" s="100"/>
    </row>
    <row r="17" spans="2:9" ht="13.5" thickBot="1" x14ac:dyDescent="0.25">
      <c r="B17" s="169"/>
      <c r="C17" s="170"/>
      <c r="D17" s="170"/>
      <c r="E17" s="170"/>
      <c r="F17" s="170"/>
      <c r="G17" s="169"/>
    </row>
    <row r="18" spans="2:9" ht="36" customHeight="1" thickBot="1" x14ac:dyDescent="0.25">
      <c r="B18" s="448" t="s">
        <v>64</v>
      </c>
      <c r="C18" s="449"/>
      <c r="D18" s="449"/>
      <c r="E18" s="449"/>
      <c r="F18" s="449"/>
      <c r="G18" s="449"/>
      <c r="H18" s="450"/>
      <c r="I18" s="171"/>
    </row>
    <row r="19" spans="2:9" ht="25.5" customHeight="1" thickBot="1" x14ac:dyDescent="0.25">
      <c r="B19" s="131" t="s">
        <v>18</v>
      </c>
      <c r="C19" s="132" t="s">
        <v>19</v>
      </c>
      <c r="D19" s="133" t="s">
        <v>20</v>
      </c>
      <c r="E19" s="132" t="s">
        <v>21</v>
      </c>
      <c r="F19" s="134" t="s">
        <v>22</v>
      </c>
      <c r="G19" s="132" t="s">
        <v>23</v>
      </c>
      <c r="H19" s="135" t="s">
        <v>25</v>
      </c>
    </row>
    <row r="20" spans="2:9" ht="36.6" customHeight="1" x14ac:dyDescent="0.2">
      <c r="B20" s="126">
        <v>1</v>
      </c>
      <c r="C20" s="97" t="s">
        <v>65</v>
      </c>
      <c r="D20" s="97"/>
      <c r="E20" s="97" t="s">
        <v>66</v>
      </c>
      <c r="F20" s="97"/>
      <c r="G20" s="177" t="s">
        <v>28</v>
      </c>
      <c r="H20" s="127"/>
    </row>
    <row r="21" spans="2:9" ht="72" customHeight="1" x14ac:dyDescent="0.2">
      <c r="B21" s="99">
        <f t="shared" ref="B21:B37" si="3">+B20+1</f>
        <v>2</v>
      </c>
      <c r="C21" s="98" t="s">
        <v>67</v>
      </c>
      <c r="D21" s="98"/>
      <c r="E21" s="98" t="s">
        <v>68</v>
      </c>
      <c r="F21" s="98"/>
      <c r="G21" s="174" t="s">
        <v>28</v>
      </c>
      <c r="H21" s="100"/>
    </row>
    <row r="22" spans="2:9" ht="72" customHeight="1" x14ac:dyDescent="0.2">
      <c r="B22" s="99">
        <f t="shared" si="3"/>
        <v>3</v>
      </c>
      <c r="C22" s="98" t="s">
        <v>69</v>
      </c>
      <c r="D22" s="98"/>
      <c r="E22" s="98" t="s">
        <v>36</v>
      </c>
      <c r="F22" s="98" t="s">
        <v>70</v>
      </c>
      <c r="G22" s="174" t="s">
        <v>28</v>
      </c>
      <c r="H22" s="100"/>
    </row>
    <row r="23" spans="2:9" ht="72" customHeight="1" x14ac:dyDescent="0.2">
      <c r="B23" s="99">
        <f t="shared" si="3"/>
        <v>4</v>
      </c>
      <c r="C23" s="98" t="s">
        <v>71</v>
      </c>
      <c r="D23" s="98"/>
      <c r="E23" s="98" t="s">
        <v>46</v>
      </c>
      <c r="F23" s="98" t="s">
        <v>72</v>
      </c>
      <c r="G23" s="174" t="s">
        <v>28</v>
      </c>
      <c r="H23" s="100"/>
    </row>
    <row r="24" spans="2:9" ht="72" customHeight="1" x14ac:dyDescent="0.2">
      <c r="B24" s="99">
        <f t="shared" si="3"/>
        <v>5</v>
      </c>
      <c r="C24" s="98" t="s">
        <v>73</v>
      </c>
      <c r="D24" s="98"/>
      <c r="E24" s="98" t="s">
        <v>46</v>
      </c>
      <c r="F24" s="98"/>
      <c r="G24" s="174" t="s">
        <v>28</v>
      </c>
      <c r="H24" s="100"/>
    </row>
    <row r="25" spans="2:9" ht="72" customHeight="1" x14ac:dyDescent="0.2">
      <c r="B25" s="99">
        <f t="shared" si="3"/>
        <v>6</v>
      </c>
      <c r="C25" s="98" t="s">
        <v>74</v>
      </c>
      <c r="D25" s="98"/>
      <c r="E25" s="98"/>
      <c r="F25" s="98"/>
      <c r="G25" s="174" t="s">
        <v>28</v>
      </c>
      <c r="H25" s="100"/>
    </row>
    <row r="26" spans="2:9" ht="72" customHeight="1" x14ac:dyDescent="0.2">
      <c r="B26" s="99">
        <f t="shared" si="3"/>
        <v>7</v>
      </c>
      <c r="C26" s="98" t="s">
        <v>75</v>
      </c>
      <c r="D26" s="98"/>
      <c r="E26" s="98" t="s">
        <v>36</v>
      </c>
      <c r="F26" s="98"/>
      <c r="G26" s="174" t="s">
        <v>28</v>
      </c>
      <c r="H26" s="100"/>
    </row>
    <row r="27" spans="2:9" ht="72" customHeight="1" x14ac:dyDescent="0.2">
      <c r="B27" s="99">
        <f t="shared" si="3"/>
        <v>8</v>
      </c>
      <c r="C27" s="98" t="s">
        <v>76</v>
      </c>
      <c r="D27" s="98"/>
      <c r="E27" s="98" t="s">
        <v>77</v>
      </c>
      <c r="F27" s="98"/>
      <c r="G27" s="174" t="s">
        <v>28</v>
      </c>
      <c r="H27" s="100"/>
    </row>
    <row r="28" spans="2:9" ht="72" customHeight="1" x14ac:dyDescent="0.2">
      <c r="B28" s="99">
        <f t="shared" si="3"/>
        <v>9</v>
      </c>
      <c r="C28" s="98" t="s">
        <v>78</v>
      </c>
      <c r="D28" s="98"/>
      <c r="E28" s="98" t="s">
        <v>79</v>
      </c>
      <c r="F28" s="98" t="s">
        <v>192</v>
      </c>
      <c r="G28" s="174" t="s">
        <v>28</v>
      </c>
      <c r="H28" s="100"/>
    </row>
    <row r="29" spans="2:9" ht="72" customHeight="1" x14ac:dyDescent="0.2">
      <c r="B29" s="99">
        <f t="shared" si="3"/>
        <v>10</v>
      </c>
      <c r="C29" s="98" t="s">
        <v>80</v>
      </c>
      <c r="D29" s="98"/>
      <c r="E29" s="98"/>
      <c r="F29" s="98"/>
      <c r="G29" s="174" t="s">
        <v>28</v>
      </c>
      <c r="H29" s="100"/>
    </row>
    <row r="30" spans="2:9" ht="72" customHeight="1" x14ac:dyDescent="0.2">
      <c r="B30" s="99">
        <f t="shared" si="3"/>
        <v>11</v>
      </c>
      <c r="C30" s="180" t="s">
        <v>81</v>
      </c>
      <c r="D30" s="98" t="s">
        <v>82</v>
      </c>
      <c r="E30" s="180" t="s">
        <v>83</v>
      </c>
      <c r="F30" s="181"/>
      <c r="G30" s="174" t="s">
        <v>28</v>
      </c>
      <c r="H30" s="100"/>
    </row>
    <row r="31" spans="2:9" ht="72" customHeight="1" x14ac:dyDescent="0.2">
      <c r="B31" s="99">
        <f t="shared" si="3"/>
        <v>12</v>
      </c>
      <c r="C31" s="98" t="s">
        <v>84</v>
      </c>
      <c r="D31" s="98" t="s">
        <v>82</v>
      </c>
      <c r="E31" s="98" t="s">
        <v>85</v>
      </c>
      <c r="F31" s="98"/>
      <c r="G31" s="174" t="s">
        <v>28</v>
      </c>
      <c r="H31" s="100"/>
    </row>
    <row r="32" spans="2:9" ht="72" customHeight="1" x14ac:dyDescent="0.2">
      <c r="B32" s="99">
        <f t="shared" si="3"/>
        <v>13</v>
      </c>
      <c r="C32" s="98" t="s">
        <v>86</v>
      </c>
      <c r="D32" s="98" t="s">
        <v>82</v>
      </c>
      <c r="E32" s="98" t="s">
        <v>87</v>
      </c>
      <c r="F32" s="98"/>
      <c r="G32" s="174" t="s">
        <v>28</v>
      </c>
      <c r="H32" s="100"/>
    </row>
    <row r="33" spans="2:8" ht="72" customHeight="1" x14ac:dyDescent="0.2">
      <c r="B33" s="99">
        <f t="shared" si="3"/>
        <v>14</v>
      </c>
      <c r="C33" s="98" t="s">
        <v>88</v>
      </c>
      <c r="D33" s="98" t="s">
        <v>82</v>
      </c>
      <c r="E33" s="98" t="s">
        <v>89</v>
      </c>
      <c r="F33" s="98" t="s">
        <v>90</v>
      </c>
      <c r="G33" s="174" t="s">
        <v>28</v>
      </c>
      <c r="H33" s="100"/>
    </row>
    <row r="34" spans="2:8" ht="72" customHeight="1" x14ac:dyDescent="0.2">
      <c r="B34" s="99">
        <f t="shared" si="3"/>
        <v>15</v>
      </c>
      <c r="C34" s="98" t="s">
        <v>91</v>
      </c>
      <c r="D34" s="98"/>
      <c r="E34" s="98" t="s">
        <v>92</v>
      </c>
      <c r="F34" s="98"/>
      <c r="G34" s="174" t="s">
        <v>28</v>
      </c>
      <c r="H34" s="100"/>
    </row>
    <row r="35" spans="2:8" ht="72" customHeight="1" x14ac:dyDescent="0.2">
      <c r="B35" s="99">
        <f t="shared" si="3"/>
        <v>16</v>
      </c>
      <c r="C35" s="98" t="s">
        <v>93</v>
      </c>
      <c r="D35" s="98"/>
      <c r="E35" s="98" t="s">
        <v>94</v>
      </c>
      <c r="F35" s="98"/>
      <c r="G35" s="174" t="s">
        <v>28</v>
      </c>
      <c r="H35" s="100"/>
    </row>
    <row r="36" spans="2:8" ht="72" customHeight="1" x14ac:dyDescent="0.2">
      <c r="B36" s="99">
        <f t="shared" si="3"/>
        <v>17</v>
      </c>
      <c r="C36" s="98" t="s">
        <v>95</v>
      </c>
      <c r="D36" s="98"/>
      <c r="E36" s="98" t="s">
        <v>79</v>
      </c>
      <c r="F36" s="98" t="s">
        <v>96</v>
      </c>
      <c r="G36" s="174" t="s">
        <v>28</v>
      </c>
      <c r="H36" s="100"/>
    </row>
    <row r="37" spans="2:8" ht="72" customHeight="1" thickBot="1" x14ac:dyDescent="0.25">
      <c r="B37" s="101">
        <f t="shared" si="3"/>
        <v>18</v>
      </c>
      <c r="C37" s="102" t="s">
        <v>97</v>
      </c>
      <c r="D37" s="102" t="s">
        <v>82</v>
      </c>
      <c r="E37" s="102" t="s">
        <v>98</v>
      </c>
      <c r="F37" s="102" t="s">
        <v>99</v>
      </c>
      <c r="G37" s="175" t="s">
        <v>28</v>
      </c>
      <c r="H37" s="103"/>
    </row>
    <row r="38" spans="2:8" ht="72" customHeight="1" x14ac:dyDescent="0.2">
      <c r="D38" s="114"/>
      <c r="F38" s="114"/>
    </row>
  </sheetData>
  <mergeCells count="3">
    <mergeCell ref="B2:I2"/>
    <mergeCell ref="B4:I4"/>
    <mergeCell ref="B18:H18"/>
  </mergeCells>
  <conditionalFormatting sqref="G6:G16 G20:G37">
    <cfRule type="cellIs" dxfId="10" priority="2" operator="equal">
      <formula>"Partial"</formula>
    </cfRule>
    <cfRule type="cellIs" dxfId="9" priority="5" operator="equal">
      <formula>"No"</formula>
    </cfRule>
    <cfRule type="cellIs" dxfId="8" priority="6" operator="equal">
      <formula>"Yes"</formula>
    </cfRule>
  </conditionalFormatting>
  <dataValidations count="1">
    <dataValidation type="list" allowBlank="1" showInputMessage="1" showErrorMessage="1" sqref="G6:G16 G20:G37" xr:uid="{B10423FE-CFC5-4D96-978E-34A07ACF33C8}">
      <formula1>#REF!</formula1>
    </dataValidation>
  </dataValidations>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zoomScale="70" zoomScaleNormal="70" workbookViewId="0">
      <selection activeCell="E5" sqref="E5"/>
    </sheetView>
  </sheetViews>
  <sheetFormatPr defaultColWidth="8.85546875" defaultRowHeight="12.75" x14ac:dyDescent="0.2"/>
  <cols>
    <col min="1" max="1" width="2.85546875" style="114" customWidth="1"/>
    <col min="2" max="2" width="12.5703125" style="114" customWidth="1"/>
    <col min="3" max="3" width="70.85546875" style="114" customWidth="1"/>
    <col min="4" max="4" width="24" style="114" customWidth="1"/>
    <col min="5" max="5" width="29.42578125" style="114" customWidth="1"/>
    <col min="6" max="6" width="19.42578125" style="114" bestFit="1" customWidth="1"/>
    <col min="7" max="7" width="7.85546875" style="114" customWidth="1"/>
    <col min="8" max="16384" width="8.85546875" style="114"/>
  </cols>
  <sheetData>
    <row r="1" spans="2:6" ht="13.5" thickBot="1" x14ac:dyDescent="0.25"/>
    <row r="2" spans="2:6" ht="47.45" customHeight="1" thickBot="1" x14ac:dyDescent="0.25">
      <c r="B2" s="442" t="s">
        <v>15</v>
      </c>
      <c r="C2" s="443"/>
      <c r="D2" s="443"/>
      <c r="E2" s="443"/>
      <c r="F2" s="444"/>
    </row>
    <row r="4" spans="2:6" ht="25.5" customHeight="1" thickBot="1" x14ac:dyDescent="0.25">
      <c r="B4" s="185" t="s">
        <v>18</v>
      </c>
      <c r="C4" s="186" t="s">
        <v>19</v>
      </c>
      <c r="D4" s="186" t="s">
        <v>23</v>
      </c>
      <c r="E4" s="186" t="s">
        <v>24</v>
      </c>
      <c r="F4" s="188" t="s">
        <v>25</v>
      </c>
    </row>
    <row r="5" spans="2:6" ht="76.5" customHeight="1" x14ac:dyDescent="0.2">
      <c r="B5" s="126">
        <v>1</v>
      </c>
      <c r="C5" s="97" t="s">
        <v>323</v>
      </c>
      <c r="D5" s="177" t="s">
        <v>28</v>
      </c>
      <c r="E5" s="189" t="s">
        <v>323</v>
      </c>
      <c r="F5" s="349"/>
    </row>
    <row r="6" spans="2:6" ht="76.5" customHeight="1" x14ac:dyDescent="0.2">
      <c r="B6" s="99">
        <f>B5+1</f>
        <v>2</v>
      </c>
      <c r="C6" s="98" t="s">
        <v>334</v>
      </c>
      <c r="D6" s="174" t="s">
        <v>28</v>
      </c>
      <c r="E6" s="183" t="s">
        <v>334</v>
      </c>
      <c r="F6" s="100"/>
    </row>
    <row r="7" spans="2:6" ht="76.5" customHeight="1" x14ac:dyDescent="0.2">
      <c r="B7" s="99">
        <f t="shared" ref="B7:B14" si="0">B6+1</f>
        <v>3</v>
      </c>
      <c r="C7" s="98" t="s">
        <v>335</v>
      </c>
      <c r="D7" s="174" t="s">
        <v>28</v>
      </c>
      <c r="E7" s="183" t="s">
        <v>344</v>
      </c>
      <c r="F7" s="100"/>
    </row>
    <row r="8" spans="2:6" ht="76.5" customHeight="1" x14ac:dyDescent="0.2">
      <c r="B8" s="99">
        <f t="shared" si="0"/>
        <v>4</v>
      </c>
      <c r="C8" s="98" t="s">
        <v>336</v>
      </c>
      <c r="D8" s="174" t="s">
        <v>28</v>
      </c>
      <c r="E8" s="183" t="s">
        <v>345</v>
      </c>
      <c r="F8" s="100"/>
    </row>
    <row r="9" spans="2:6" ht="76.5" customHeight="1" x14ac:dyDescent="0.2">
      <c r="B9" s="99">
        <f t="shared" si="0"/>
        <v>5</v>
      </c>
      <c r="C9" s="98" t="s">
        <v>30</v>
      </c>
      <c r="D9" s="174" t="s">
        <v>28</v>
      </c>
      <c r="E9" s="183" t="s">
        <v>30</v>
      </c>
      <c r="F9" s="100"/>
    </row>
    <row r="10" spans="2:6" ht="76.5" customHeight="1" x14ac:dyDescent="0.2">
      <c r="B10" s="99">
        <f t="shared" si="0"/>
        <v>6</v>
      </c>
      <c r="C10" s="98" t="s">
        <v>337</v>
      </c>
      <c r="D10" s="174" t="s">
        <v>28</v>
      </c>
      <c r="E10" s="183" t="s">
        <v>346</v>
      </c>
      <c r="F10" s="100"/>
    </row>
    <row r="11" spans="2:6" ht="76.5" customHeight="1" x14ac:dyDescent="0.2">
      <c r="B11" s="99">
        <f t="shared" si="0"/>
        <v>7</v>
      </c>
      <c r="C11" s="98" t="s">
        <v>117</v>
      </c>
      <c r="D11" s="174" t="s">
        <v>28</v>
      </c>
      <c r="E11" s="183" t="s">
        <v>117</v>
      </c>
      <c r="F11" s="100"/>
    </row>
    <row r="12" spans="2:6" ht="76.5" customHeight="1" x14ac:dyDescent="0.2">
      <c r="B12" s="99">
        <f t="shared" si="0"/>
        <v>8</v>
      </c>
      <c r="C12" s="98" t="s">
        <v>339</v>
      </c>
      <c r="D12" s="174" t="s">
        <v>28</v>
      </c>
      <c r="E12" s="183" t="s">
        <v>339</v>
      </c>
      <c r="F12" s="176"/>
    </row>
    <row r="13" spans="2:6" ht="76.5" customHeight="1" x14ac:dyDescent="0.2">
      <c r="B13" s="99">
        <f t="shared" si="0"/>
        <v>9</v>
      </c>
      <c r="C13" s="98" t="s">
        <v>338</v>
      </c>
      <c r="D13" s="174" t="s">
        <v>28</v>
      </c>
      <c r="E13" s="183" t="s">
        <v>347</v>
      </c>
      <c r="F13" s="100"/>
    </row>
    <row r="14" spans="2:6" ht="76.5" customHeight="1" x14ac:dyDescent="0.2">
      <c r="B14" s="99">
        <f t="shared" si="0"/>
        <v>10</v>
      </c>
      <c r="C14" s="98" t="s">
        <v>340</v>
      </c>
      <c r="D14" s="174" t="s">
        <v>28</v>
      </c>
      <c r="E14" s="183" t="s">
        <v>340</v>
      </c>
      <c r="F14" s="100"/>
    </row>
    <row r="15" spans="2:6" ht="76.5" customHeight="1" x14ac:dyDescent="0.2">
      <c r="B15" s="99">
        <v>11</v>
      </c>
      <c r="C15" s="98" t="s">
        <v>341</v>
      </c>
      <c r="D15" s="174" t="s">
        <v>28</v>
      </c>
      <c r="E15" s="183" t="s">
        <v>341</v>
      </c>
      <c r="F15" s="100"/>
    </row>
    <row r="16" spans="2:6" ht="76.5" customHeight="1" x14ac:dyDescent="0.2">
      <c r="B16" s="99">
        <v>12</v>
      </c>
      <c r="C16" s="98" t="s">
        <v>58</v>
      </c>
      <c r="D16" s="174" t="s">
        <v>28</v>
      </c>
      <c r="E16" s="183" t="s">
        <v>58</v>
      </c>
      <c r="F16" s="100"/>
    </row>
    <row r="17" spans="2:6" ht="76.5" customHeight="1" x14ac:dyDescent="0.2">
      <c r="B17" s="99">
        <v>13</v>
      </c>
      <c r="C17" s="98" t="s">
        <v>168</v>
      </c>
      <c r="D17" s="174" t="s">
        <v>28</v>
      </c>
      <c r="E17" s="183" t="s">
        <v>168</v>
      </c>
      <c r="F17" s="100"/>
    </row>
    <row r="18" spans="2:6" ht="76.5" customHeight="1" x14ac:dyDescent="0.2">
      <c r="B18" s="99">
        <v>14</v>
      </c>
      <c r="C18" s="98" t="s">
        <v>342</v>
      </c>
      <c r="D18" s="174" t="s">
        <v>28</v>
      </c>
      <c r="E18" s="183" t="s">
        <v>342</v>
      </c>
      <c r="F18" s="100"/>
    </row>
    <row r="19" spans="2:6" ht="76.5" customHeight="1" x14ac:dyDescent="0.2">
      <c r="B19" s="99">
        <v>15</v>
      </c>
      <c r="C19" s="98" t="s">
        <v>343</v>
      </c>
      <c r="D19" s="174" t="s">
        <v>28</v>
      </c>
      <c r="E19" s="183" t="s">
        <v>348</v>
      </c>
      <c r="F19" s="100"/>
    </row>
    <row r="20" spans="2:6" x14ac:dyDescent="0.2">
      <c r="B20" s="169"/>
      <c r="C20" s="170"/>
      <c r="D20" s="169"/>
    </row>
    <row r="21" spans="2:6" ht="36" customHeight="1" x14ac:dyDescent="0.2">
      <c r="F21" s="171"/>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7" priority="1" operator="equal">
      <formula>"Partial"</formula>
    </cfRule>
    <cfRule type="cellIs" dxfId="6" priority="2" operator="equal">
      <formula>"No"</formula>
    </cfRule>
    <cfRule type="cellIs" dxfId="5"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42"/>
  <sheetViews>
    <sheetView topLeftCell="A26" zoomScaleNormal="100" workbookViewId="0">
      <selection activeCell="C40" sqref="C40"/>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37" t="s">
        <v>323</v>
      </c>
      <c r="C2" s="438"/>
      <c r="D2" s="438"/>
      <c r="E2" s="438"/>
      <c r="F2" s="438"/>
      <c r="G2" s="438"/>
      <c r="H2" s="438"/>
      <c r="I2" s="438"/>
      <c r="J2" s="438"/>
      <c r="K2" s="438"/>
      <c r="L2" s="438"/>
      <c r="M2" s="438"/>
      <c r="N2" s="43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51" t="str">
        <f>Header!$D$4</f>
        <v>ZARAI REINSURANCE CORPORATION</v>
      </c>
      <c r="E5" s="452"/>
      <c r="N5" s="113"/>
    </row>
    <row r="6" spans="2:17" s="114" customFormat="1" ht="14.45" customHeight="1" x14ac:dyDescent="0.2">
      <c r="C6" s="118" t="s">
        <v>3</v>
      </c>
      <c r="D6" s="451" t="str">
        <f>Header!$D$5</f>
        <v>Kenya</v>
      </c>
      <c r="E6" s="452"/>
      <c r="F6" s="114" t="s">
        <v>104</v>
      </c>
    </row>
    <row r="7" spans="2:17" s="114" customFormat="1" ht="14.45" customHeight="1" x14ac:dyDescent="0.2">
      <c r="C7" s="118" t="s">
        <v>4</v>
      </c>
      <c r="D7" s="451" t="str">
        <f>Header!$D$6</f>
        <v>KES</v>
      </c>
      <c r="E7" s="452"/>
    </row>
    <row r="8" spans="2:17" s="114" customFormat="1" ht="14.45" customHeight="1" x14ac:dyDescent="0.2">
      <c r="C8" s="118" t="s">
        <v>105</v>
      </c>
      <c r="D8" s="451">
        <f>YEAR(Header!$D$11)</f>
        <v>2026</v>
      </c>
      <c r="E8" s="452"/>
    </row>
    <row r="9" spans="2:17" s="114" customFormat="1" ht="14.45" customHeight="1" x14ac:dyDescent="0.2">
      <c r="C9" s="118" t="s">
        <v>11</v>
      </c>
      <c r="D9" s="451" t="str">
        <f>Header!$D$15</f>
        <v>Property</v>
      </c>
      <c r="E9" s="452"/>
    </row>
    <row r="10" spans="2:17" s="114" customFormat="1" ht="14.45" customHeight="1" x14ac:dyDescent="0.2">
      <c r="C10" s="118" t="s">
        <v>106</v>
      </c>
      <c r="D10" s="431"/>
      <c r="E10" s="433"/>
    </row>
    <row r="11" spans="2:17" s="114" customFormat="1" ht="14.45" customHeight="1" x14ac:dyDescent="0.2"/>
    <row r="12" spans="2:17" s="114" customFormat="1" x14ac:dyDescent="0.2">
      <c r="B12"/>
      <c r="C12" s="334"/>
      <c r="D12"/>
      <c r="E12" s="335"/>
    </row>
    <row r="13" spans="2:17" s="114" customFormat="1" x14ac:dyDescent="0.2">
      <c r="B13"/>
      <c r="C13" s="334" t="s">
        <v>316</v>
      </c>
      <c r="D13"/>
      <c r="E13" s="335"/>
    </row>
    <row r="14" spans="2:17" s="114" customFormat="1" ht="14.45" customHeight="1" x14ac:dyDescent="0.2">
      <c r="B14"/>
      <c r="C14" s="334"/>
      <c r="D14"/>
      <c r="E14" s="335"/>
      <c r="G14" s="115"/>
      <c r="H14" s="115"/>
      <c r="I14" s="115"/>
      <c r="J14" s="115"/>
      <c r="K14" s="115"/>
      <c r="L14" s="115"/>
      <c r="M14" s="115"/>
      <c r="N14" s="115"/>
    </row>
    <row r="15" spans="2:17" s="114" customFormat="1" ht="14.45" customHeight="1" x14ac:dyDescent="0.2">
      <c r="B15"/>
      <c r="C15" s="334"/>
      <c r="D15"/>
      <c r="E15" s="335"/>
      <c r="F15" s="115"/>
      <c r="G15" s="115"/>
      <c r="H15" s="115"/>
      <c r="I15" s="115"/>
      <c r="J15" s="115"/>
      <c r="K15" s="115"/>
      <c r="L15" s="115"/>
      <c r="M15" s="115"/>
      <c r="N15" s="115"/>
    </row>
    <row r="16" spans="2:17" s="114" customFormat="1" ht="14.45" customHeight="1" x14ac:dyDescent="0.2">
      <c r="B16"/>
      <c r="C16" s="334"/>
      <c r="D16"/>
      <c r="E16" s="335"/>
      <c r="F16" s="115"/>
      <c r="G16" s="115"/>
      <c r="H16" s="115"/>
      <c r="I16" s="115"/>
      <c r="J16" s="115"/>
      <c r="K16" s="115"/>
      <c r="L16" s="115"/>
      <c r="M16" s="115"/>
      <c r="N16" s="115"/>
    </row>
    <row r="17" spans="2:5" ht="13.35" customHeight="1" x14ac:dyDescent="0.2">
      <c r="B17"/>
      <c r="C17" s="334"/>
      <c r="D17"/>
      <c r="E17" s="335"/>
    </row>
    <row r="18" spans="2:5" ht="13.35" customHeight="1" x14ac:dyDescent="0.2">
      <c r="B18"/>
      <c r="C18" s="334"/>
      <c r="D18"/>
      <c r="E18" s="335"/>
    </row>
    <row r="19" spans="2:5" x14ac:dyDescent="0.2">
      <c r="B19"/>
      <c r="C19" s="334"/>
      <c r="D19"/>
      <c r="E19" s="335"/>
    </row>
    <row r="20" spans="2:5" x14ac:dyDescent="0.2">
      <c r="B20"/>
      <c r="C20" s="334"/>
      <c r="D20"/>
      <c r="E20" s="335"/>
    </row>
    <row r="21" spans="2:5" x14ac:dyDescent="0.2">
      <c r="B21"/>
      <c r="C21" s="334"/>
      <c r="D21"/>
      <c r="E21" s="335"/>
    </row>
    <row r="22" spans="2:5" x14ac:dyDescent="0.2">
      <c r="B22"/>
      <c r="C22" s="334"/>
      <c r="D22"/>
      <c r="E22" s="335"/>
    </row>
    <row r="23" spans="2:5" x14ac:dyDescent="0.2">
      <c r="B23"/>
      <c r="C23" s="334"/>
      <c r="D23"/>
      <c r="E23" s="335"/>
    </row>
    <row r="24" spans="2:5" x14ac:dyDescent="0.2">
      <c r="B24"/>
      <c r="C24" s="334"/>
      <c r="D24"/>
      <c r="E24" s="335"/>
    </row>
    <row r="25" spans="2:5" x14ac:dyDescent="0.2">
      <c r="B25"/>
      <c r="C25" s="334"/>
      <c r="D25"/>
      <c r="E25" s="335"/>
    </row>
    <row r="26" spans="2:5" x14ac:dyDescent="0.2">
      <c r="B26"/>
      <c r="C26" s="334"/>
      <c r="D26"/>
      <c r="E26" s="335"/>
    </row>
    <row r="27" spans="2:5" x14ac:dyDescent="0.2">
      <c r="B27"/>
      <c r="C27" s="334"/>
      <c r="D27"/>
      <c r="E27" s="335"/>
    </row>
    <row r="28" spans="2:5" x14ac:dyDescent="0.2">
      <c r="B28"/>
      <c r="C28" s="334"/>
      <c r="D28"/>
      <c r="E28" s="335"/>
    </row>
    <row r="29" spans="2:5" x14ac:dyDescent="0.2">
      <c r="B29"/>
      <c r="C29" s="334"/>
      <c r="D29"/>
      <c r="E29" s="335"/>
    </row>
    <row r="30" spans="2:5" x14ac:dyDescent="0.2">
      <c r="B30"/>
      <c r="C30" s="334"/>
      <c r="D30"/>
      <c r="E30" s="335"/>
    </row>
    <row r="31" spans="2:5" ht="15.75" x14ac:dyDescent="0.25">
      <c r="B31" s="336"/>
      <c r="C31" s="334"/>
      <c r="D31"/>
      <c r="E31" s="335"/>
    </row>
    <row r="32" spans="2:5" x14ac:dyDescent="0.2">
      <c r="B32"/>
      <c r="C32" s="334"/>
      <c r="D32"/>
      <c r="E32" s="335"/>
    </row>
    <row r="33" spans="2:5" x14ac:dyDescent="0.2">
      <c r="B33"/>
      <c r="C33" s="334"/>
      <c r="D33"/>
      <c r="E33" s="335"/>
    </row>
    <row r="34" spans="2:5" ht="13.5" thickBot="1" x14ac:dyDescent="0.25">
      <c r="B34"/>
      <c r="C34" s="334"/>
      <c r="D34"/>
      <c r="E34" s="335"/>
    </row>
    <row r="35" spans="2:5" ht="15.75" thickBot="1" x14ac:dyDescent="0.3">
      <c r="B35"/>
      <c r="C35" s="337" t="s">
        <v>317</v>
      </c>
      <c r="D35" s="338">
        <v>6000000</v>
      </c>
      <c r="E35" s="339" t="s">
        <v>165</v>
      </c>
    </row>
    <row r="36" spans="2:5" ht="15.75" thickBot="1" x14ac:dyDescent="0.3">
      <c r="B36"/>
      <c r="C36" s="340" t="s">
        <v>318</v>
      </c>
      <c r="D36" s="341">
        <v>4000000</v>
      </c>
      <c r="E36" s="339" t="s">
        <v>319</v>
      </c>
    </row>
    <row r="37" spans="2:5" ht="15" x14ac:dyDescent="0.25">
      <c r="B37"/>
      <c r="C37" s="342" t="s">
        <v>320</v>
      </c>
      <c r="D37" s="343">
        <v>2000000</v>
      </c>
      <c r="E37" s="339" t="s">
        <v>321</v>
      </c>
    </row>
    <row r="38" spans="2:5" ht="15.75" thickBot="1" x14ac:dyDescent="0.3">
      <c r="B38"/>
      <c r="C38" s="344" t="s">
        <v>322</v>
      </c>
      <c r="D38" s="345">
        <v>1000000</v>
      </c>
      <c r="E38" s="339" t="s">
        <v>164</v>
      </c>
    </row>
    <row r="39" spans="2:5" x14ac:dyDescent="0.2">
      <c r="B39"/>
      <c r="C39" s="334"/>
      <c r="D39"/>
      <c r="E39" s="339"/>
    </row>
    <row r="40" spans="2:5" x14ac:dyDescent="0.2">
      <c r="B40"/>
      <c r="C40" s="334"/>
      <c r="D40"/>
      <c r="E40" s="335"/>
    </row>
    <row r="41" spans="2:5" x14ac:dyDescent="0.2">
      <c r="B41"/>
      <c r="C41" s="334"/>
      <c r="D41"/>
      <c r="E41" s="335"/>
    </row>
    <row r="42" spans="2:5" x14ac:dyDescent="0.2">
      <c r="B42"/>
      <c r="C42" s="334"/>
      <c r="D42"/>
      <c r="E42" s="335"/>
    </row>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52"/>
  <sheetViews>
    <sheetView topLeftCell="A6" zoomScaleNormal="100" workbookViewId="0">
      <selection activeCell="B36" sqref="B36:C44"/>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37" t="s">
        <v>311</v>
      </c>
      <c r="C2" s="438"/>
      <c r="D2" s="438"/>
      <c r="E2" s="438"/>
      <c r="F2" s="438"/>
      <c r="G2" s="438"/>
      <c r="H2" s="438"/>
      <c r="I2" s="438"/>
      <c r="J2" s="438"/>
      <c r="K2" s="438"/>
      <c r="L2" s="438"/>
      <c r="M2" s="438"/>
      <c r="N2" s="43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51" t="str">
        <f>Header!$D$4</f>
        <v>ZARAI REINSURANCE CORPORATION</v>
      </c>
      <c r="E5" s="452"/>
      <c r="N5" s="113"/>
    </row>
    <row r="6" spans="2:17" s="114" customFormat="1" ht="14.45" customHeight="1" x14ac:dyDescent="0.2">
      <c r="C6" s="118" t="s">
        <v>3</v>
      </c>
      <c r="D6" s="451" t="str">
        <f>Header!$D$5</f>
        <v>Kenya</v>
      </c>
      <c r="E6" s="452"/>
      <c r="F6" s="114" t="s">
        <v>104</v>
      </c>
    </row>
    <row r="7" spans="2:17" s="114" customFormat="1" ht="14.45" customHeight="1" x14ac:dyDescent="0.2">
      <c r="C7" s="118" t="s">
        <v>4</v>
      </c>
      <c r="D7" s="451" t="str">
        <f>Header!$D$6</f>
        <v>KES</v>
      </c>
      <c r="E7" s="452"/>
    </row>
    <row r="8" spans="2:17" s="114" customFormat="1" ht="14.45" customHeight="1" x14ac:dyDescent="0.2">
      <c r="C8" s="118" t="s">
        <v>105</v>
      </c>
      <c r="D8" s="451">
        <f>YEAR(Header!$D$11)</f>
        <v>2026</v>
      </c>
      <c r="E8" s="452"/>
    </row>
    <row r="9" spans="2:17" s="114" customFormat="1" ht="14.45" customHeight="1" x14ac:dyDescent="0.2">
      <c r="C9" s="118" t="s">
        <v>11</v>
      </c>
      <c r="D9" s="451" t="str">
        <f>Header!$D$15</f>
        <v>Property</v>
      </c>
      <c r="E9" s="452"/>
    </row>
    <row r="10" spans="2:17" s="114" customFormat="1" ht="14.45" customHeight="1" x14ac:dyDescent="0.2">
      <c r="C10" s="118" t="s">
        <v>106</v>
      </c>
      <c r="D10" s="431"/>
      <c r="E10" s="433"/>
    </row>
    <row r="11" spans="2:17" s="114" customFormat="1" ht="14.45" customHeight="1" x14ac:dyDescent="0.2"/>
    <row r="12" spans="2:17" s="114" customFormat="1" ht="14.45" customHeight="1" thickBot="1" x14ac:dyDescent="0.25"/>
    <row r="13" spans="2:17" s="114" customFormat="1" ht="16.5" customHeight="1" thickBot="1" x14ac:dyDescent="0.25">
      <c r="B13" s="464" t="s">
        <v>196</v>
      </c>
      <c r="C13" s="462"/>
      <c r="D13" s="462"/>
      <c r="E13" s="465"/>
    </row>
    <row r="14" spans="2:17" s="114" customFormat="1" ht="16.5" thickBot="1" x14ac:dyDescent="0.3">
      <c r="B14" s="241" t="s">
        <v>197</v>
      </c>
      <c r="C14" s="241" t="s">
        <v>198</v>
      </c>
      <c r="D14" s="242" t="s">
        <v>199</v>
      </c>
      <c r="E14" s="243" t="s">
        <v>358</v>
      </c>
    </row>
    <row r="15" spans="2:17" s="114" customFormat="1" ht="16.5" customHeight="1" x14ac:dyDescent="0.2">
      <c r="B15" s="308" t="s">
        <v>413</v>
      </c>
      <c r="C15" s="244" t="s">
        <v>200</v>
      </c>
      <c r="D15" s="244" t="s">
        <v>203</v>
      </c>
      <c r="E15" s="245">
        <v>7000000000</v>
      </c>
    </row>
    <row r="16" spans="2:17" s="114" customFormat="1" x14ac:dyDescent="0.2">
      <c r="B16" s="309" t="s">
        <v>413</v>
      </c>
      <c r="C16" s="246" t="s">
        <v>202</v>
      </c>
      <c r="D16" s="246" t="s">
        <v>203</v>
      </c>
      <c r="E16" s="247">
        <v>6700000000</v>
      </c>
    </row>
    <row r="17" spans="2:5" s="114" customFormat="1" ht="14.25" customHeight="1" thickBot="1" x14ac:dyDescent="0.25">
      <c r="B17" s="310" t="s">
        <v>413</v>
      </c>
      <c r="C17" s="310" t="s">
        <v>201</v>
      </c>
      <c r="D17" s="248" t="s">
        <v>203</v>
      </c>
      <c r="E17" s="249">
        <v>5600000000</v>
      </c>
    </row>
    <row r="18" spans="2:5" s="114" customFormat="1" x14ac:dyDescent="0.2">
      <c r="B18" s="308" t="s">
        <v>413</v>
      </c>
      <c r="C18" s="244" t="s">
        <v>200</v>
      </c>
      <c r="D18" s="244" t="s">
        <v>204</v>
      </c>
      <c r="E18" s="245">
        <v>8600000000</v>
      </c>
    </row>
    <row r="19" spans="2:5" s="114" customFormat="1" x14ac:dyDescent="0.2">
      <c r="B19" s="309" t="s">
        <v>413</v>
      </c>
      <c r="C19" s="246" t="s">
        <v>202</v>
      </c>
      <c r="D19" s="246" t="s">
        <v>204</v>
      </c>
      <c r="E19" s="247">
        <v>8000000000</v>
      </c>
    </row>
    <row r="20" spans="2:5" s="114" customFormat="1" ht="13.5" thickBot="1" x14ac:dyDescent="0.25">
      <c r="B20" s="310" t="s">
        <v>413</v>
      </c>
      <c r="C20" s="310" t="s">
        <v>201</v>
      </c>
      <c r="D20" s="248" t="s">
        <v>204</v>
      </c>
      <c r="E20" s="249">
        <v>8288000000</v>
      </c>
    </row>
    <row r="21" spans="2:5" s="114" customFormat="1" x14ac:dyDescent="0.2">
      <c r="B21" s="308" t="s">
        <v>413</v>
      </c>
      <c r="C21" s="244" t="s">
        <v>200</v>
      </c>
      <c r="D21" s="244" t="s">
        <v>205</v>
      </c>
      <c r="E21" s="245">
        <v>8000000000</v>
      </c>
    </row>
    <row r="22" spans="2:5" s="114" customFormat="1" x14ac:dyDescent="0.2">
      <c r="B22" s="309" t="s">
        <v>413</v>
      </c>
      <c r="C22" s="246" t="s">
        <v>202</v>
      </c>
      <c r="D22" s="246" t="s">
        <v>205</v>
      </c>
      <c r="E22" s="247">
        <v>8000000000</v>
      </c>
    </row>
    <row r="23" spans="2:5" s="114" customFormat="1" ht="13.5" thickBot="1" x14ac:dyDescent="0.25">
      <c r="B23" s="310" t="s">
        <v>413</v>
      </c>
      <c r="C23" s="310" t="s">
        <v>201</v>
      </c>
      <c r="D23" s="248" t="s">
        <v>205</v>
      </c>
      <c r="E23" s="249">
        <v>8100000000</v>
      </c>
    </row>
    <row r="24" spans="2:5" s="114" customFormat="1" x14ac:dyDescent="0.2">
      <c r="B24" s="309" t="s">
        <v>413</v>
      </c>
      <c r="C24" s="244" t="s">
        <v>200</v>
      </c>
      <c r="D24" s="244" t="s">
        <v>206</v>
      </c>
      <c r="E24" s="245">
        <v>10000000000</v>
      </c>
    </row>
    <row r="25" spans="2:5" s="114" customFormat="1" x14ac:dyDescent="0.2">
      <c r="B25" s="309" t="s">
        <v>413</v>
      </c>
      <c r="C25" s="246" t="s">
        <v>202</v>
      </c>
      <c r="D25" s="246" t="s">
        <v>206</v>
      </c>
      <c r="E25" s="247">
        <v>9500000000</v>
      </c>
    </row>
    <row r="26" spans="2:5" s="114" customFormat="1" ht="13.5" thickBot="1" x14ac:dyDescent="0.25">
      <c r="B26" s="310" t="s">
        <v>413</v>
      </c>
      <c r="C26" s="310" t="s">
        <v>201</v>
      </c>
      <c r="D26" s="248" t="s">
        <v>206</v>
      </c>
      <c r="E26" s="249">
        <v>10000000000</v>
      </c>
    </row>
    <row r="27" spans="2:5" s="114" customFormat="1" x14ac:dyDescent="0.2">
      <c r="B27" s="309" t="s">
        <v>413</v>
      </c>
      <c r="C27" s="244" t="s">
        <v>200</v>
      </c>
      <c r="D27" s="244" t="s">
        <v>361</v>
      </c>
      <c r="E27" s="245">
        <v>12000000000</v>
      </c>
    </row>
    <row r="28" spans="2:5" s="114" customFormat="1" x14ac:dyDescent="0.2">
      <c r="B28" s="309" t="s">
        <v>413</v>
      </c>
      <c r="C28" s="246" t="s">
        <v>202</v>
      </c>
      <c r="D28" s="246" t="s">
        <v>361</v>
      </c>
      <c r="E28" s="247">
        <v>11000000000</v>
      </c>
    </row>
    <row r="29" spans="2:5" s="114" customFormat="1" ht="13.5" thickBot="1" x14ac:dyDescent="0.25">
      <c r="B29" s="310" t="s">
        <v>413</v>
      </c>
      <c r="C29" s="310" t="s">
        <v>201</v>
      </c>
      <c r="D29" s="248" t="s">
        <v>361</v>
      </c>
      <c r="E29" s="249">
        <v>10500000000</v>
      </c>
    </row>
    <row r="30" spans="2:5" s="114" customFormat="1" ht="13.5" thickBot="1" x14ac:dyDescent="0.25">
      <c r="B30" s="311" t="s">
        <v>413</v>
      </c>
      <c r="C30" s="250" t="s">
        <v>200</v>
      </c>
      <c r="D30" s="250" t="s">
        <v>362</v>
      </c>
      <c r="E30" s="251">
        <v>12500000000</v>
      </c>
    </row>
    <row r="31" spans="2:5" s="114" customFormat="1" x14ac:dyDescent="0.2"/>
    <row r="32" spans="2:5" s="114" customFormat="1" x14ac:dyDescent="0.2"/>
    <row r="33" spans="1:14" s="114" customFormat="1" ht="13.5" thickBot="1" x14ac:dyDescent="0.25"/>
    <row r="34" spans="1:14" s="114" customFormat="1" ht="14.45" customHeight="1" thickBot="1" x14ac:dyDescent="0.25">
      <c r="A34" s="330"/>
      <c r="B34" s="462" t="s">
        <v>315</v>
      </c>
      <c r="C34" s="463"/>
      <c r="D34" s="115"/>
      <c r="E34" s="115"/>
      <c r="F34" s="115"/>
      <c r="G34" s="115"/>
      <c r="H34" s="115"/>
      <c r="I34" s="115"/>
      <c r="J34" s="115"/>
      <c r="K34" s="115"/>
      <c r="L34" s="115"/>
      <c r="M34" s="115"/>
      <c r="N34" s="115"/>
    </row>
    <row r="35" spans="1:14" s="114" customFormat="1" ht="14.45" customHeight="1" x14ac:dyDescent="0.25">
      <c r="A35" s="330"/>
      <c r="B35" s="332" t="s">
        <v>314</v>
      </c>
      <c r="C35" s="333" t="s">
        <v>109</v>
      </c>
      <c r="D35" s="115"/>
      <c r="E35" s="115"/>
      <c r="F35" s="115"/>
      <c r="G35" s="115"/>
      <c r="H35" s="115"/>
      <c r="I35" s="115"/>
      <c r="J35" s="115"/>
      <c r="K35" s="115"/>
      <c r="L35" s="115"/>
      <c r="M35" s="115"/>
      <c r="N35" s="115"/>
    </row>
    <row r="36" spans="1:14" s="114" customFormat="1" ht="14.45" customHeight="1" x14ac:dyDescent="0.2">
      <c r="A36" s="330"/>
      <c r="B36" s="309" t="s">
        <v>184</v>
      </c>
      <c r="C36" s="545">
        <v>8000000000</v>
      </c>
      <c r="D36" s="115"/>
      <c r="E36" s="115"/>
      <c r="F36" s="115"/>
      <c r="G36" s="115"/>
      <c r="H36" s="115"/>
      <c r="I36" s="115"/>
      <c r="J36" s="115"/>
      <c r="K36" s="115"/>
      <c r="L36" s="115"/>
      <c r="M36" s="115"/>
      <c r="N36" s="115"/>
    </row>
    <row r="37" spans="1:14" ht="13.35" customHeight="1" x14ac:dyDescent="0.2">
      <c r="A37" s="331"/>
      <c r="B37" s="309" t="s">
        <v>186</v>
      </c>
      <c r="C37" s="545">
        <v>9500000000</v>
      </c>
    </row>
    <row r="38" spans="1:14" ht="13.35" customHeight="1" x14ac:dyDescent="0.2">
      <c r="A38" s="331"/>
      <c r="B38" s="309" t="s">
        <v>408</v>
      </c>
      <c r="C38" s="545">
        <v>11000000000</v>
      </c>
    </row>
    <row r="39" spans="1:14" x14ac:dyDescent="0.2">
      <c r="A39" s="331"/>
      <c r="B39" s="309" t="s">
        <v>186</v>
      </c>
      <c r="C39" s="545">
        <v>12500000000</v>
      </c>
    </row>
    <row r="40" spans="1:14" x14ac:dyDescent="0.2">
      <c r="A40" s="331"/>
      <c r="B40" s="309" t="s">
        <v>409</v>
      </c>
      <c r="C40" s="545">
        <v>14000000000</v>
      </c>
    </row>
    <row r="41" spans="1:14" x14ac:dyDescent="0.2">
      <c r="A41" s="331"/>
      <c r="B41" s="309" t="s">
        <v>185</v>
      </c>
      <c r="C41" s="545">
        <v>15500000000</v>
      </c>
    </row>
    <row r="42" spans="1:14" x14ac:dyDescent="0.2">
      <c r="A42" s="331"/>
      <c r="B42" s="309" t="s">
        <v>410</v>
      </c>
      <c r="C42" s="545">
        <v>17000000000</v>
      </c>
    </row>
    <row r="43" spans="1:14" x14ac:dyDescent="0.2">
      <c r="A43" s="331"/>
      <c r="B43" s="309" t="s">
        <v>411</v>
      </c>
      <c r="C43" s="545">
        <v>18500000000</v>
      </c>
    </row>
    <row r="44" spans="1:14" x14ac:dyDescent="0.2">
      <c r="A44" s="331"/>
      <c r="B44" s="309" t="s">
        <v>412</v>
      </c>
      <c r="C44" s="545">
        <v>20000000000</v>
      </c>
    </row>
    <row r="49" spans="2:5" x14ac:dyDescent="0.2">
      <c r="B49" s="182" t="s">
        <v>14</v>
      </c>
      <c r="C49" s="114"/>
      <c r="D49" s="114"/>
      <c r="E49" s="114"/>
    </row>
    <row r="50" spans="2:5" x14ac:dyDescent="0.2">
      <c r="B50" s="453"/>
      <c r="C50" s="454"/>
      <c r="D50" s="454"/>
      <c r="E50" s="455"/>
    </row>
    <row r="51" spans="2:5" x14ac:dyDescent="0.2">
      <c r="B51" s="456"/>
      <c r="C51" s="457"/>
      <c r="D51" s="457"/>
      <c r="E51" s="458"/>
    </row>
    <row r="52" spans="2:5" x14ac:dyDescent="0.2">
      <c r="B52" s="459"/>
      <c r="C52" s="460"/>
      <c r="D52" s="460"/>
      <c r="E52" s="461"/>
    </row>
  </sheetData>
  <mergeCells count="10">
    <mergeCell ref="B50:E52"/>
    <mergeCell ref="B34:C34"/>
    <mergeCell ref="D9:E9"/>
    <mergeCell ref="D10:E10"/>
    <mergeCell ref="B13:E13"/>
    <mergeCell ref="B2:N2"/>
    <mergeCell ref="D5:E5"/>
    <mergeCell ref="D6:E6"/>
    <mergeCell ref="D7:E7"/>
    <mergeCell ref="D8:E8"/>
  </mergeCells>
  <phoneticPr fontId="17" type="noConversion"/>
  <dataValidations disablePrompts="1"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32"/>
  <sheetViews>
    <sheetView zoomScaleNormal="100" workbookViewId="0">
      <selection activeCell="P12" sqref="P12"/>
    </sheetView>
  </sheetViews>
  <sheetFormatPr defaultColWidth="11.42578125" defaultRowHeight="12.75" x14ac:dyDescent="0.2"/>
  <cols>
    <col min="1" max="1" width="2.85546875" style="115" customWidth="1"/>
    <col min="2" max="2" width="16.140625" style="115" customWidth="1"/>
    <col min="3" max="3" width="23" style="354" bestFit="1" customWidth="1"/>
    <col min="4" max="5" width="17.42578125" style="115" bestFit="1" customWidth="1"/>
    <col min="6" max="7" width="16.140625" style="115" customWidth="1"/>
    <col min="8" max="10" width="17.42578125" style="115" bestFit="1" customWidth="1"/>
    <col min="11" max="11" width="17.5703125" style="354" bestFit="1" customWidth="1"/>
    <col min="12" max="12" width="13.140625" style="115" customWidth="1"/>
    <col min="13" max="13" width="18.140625" style="115" bestFit="1" customWidth="1"/>
    <col min="14" max="14" width="13.140625" style="115" customWidth="1"/>
    <col min="15" max="15" width="7.85546875" style="115" customWidth="1"/>
    <col min="16" max="16" width="17.28515625" style="115" bestFit="1" customWidth="1"/>
    <col min="17"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37" t="s">
        <v>100</v>
      </c>
      <c r="C2" s="438"/>
      <c r="D2" s="438"/>
      <c r="E2" s="438"/>
      <c r="F2" s="438"/>
      <c r="G2" s="438"/>
      <c r="H2" s="438"/>
      <c r="I2" s="438"/>
      <c r="J2" s="438"/>
      <c r="K2" s="438"/>
      <c r="L2" s="438"/>
      <c r="M2" s="438"/>
      <c r="N2" s="439"/>
    </row>
    <row r="3" spans="2:17" ht="14.45" customHeight="1" x14ac:dyDescent="0.4">
      <c r="C3" s="358"/>
      <c r="D3" s="117"/>
      <c r="E3" s="117"/>
      <c r="F3" s="117"/>
      <c r="G3" s="117"/>
      <c r="H3" s="117"/>
    </row>
    <row r="4" spans="2:17" s="114" customFormat="1" ht="14.45" customHeight="1" x14ac:dyDescent="0.2">
      <c r="C4" s="356"/>
      <c r="J4" s="116"/>
      <c r="K4" s="356"/>
      <c r="M4" s="113"/>
      <c r="N4" s="113"/>
      <c r="O4" s="113"/>
      <c r="P4" s="113"/>
      <c r="Q4" s="113"/>
    </row>
    <row r="5" spans="2:17" s="114" customFormat="1" ht="14.45" customHeight="1" x14ac:dyDescent="0.2">
      <c r="C5" s="360" t="s">
        <v>103</v>
      </c>
      <c r="D5" s="451" t="str">
        <f>Header!$D$4</f>
        <v>ZARAI REINSURANCE CORPORATION</v>
      </c>
      <c r="E5" s="452"/>
      <c r="K5" s="356"/>
      <c r="N5" s="113"/>
    </row>
    <row r="6" spans="2:17" s="114" customFormat="1" ht="14.45" customHeight="1" x14ac:dyDescent="0.2">
      <c r="C6" s="360" t="s">
        <v>3</v>
      </c>
      <c r="D6" s="451" t="str">
        <f>Header!$D$5</f>
        <v>Kenya</v>
      </c>
      <c r="E6" s="452"/>
      <c r="F6" s="114" t="s">
        <v>104</v>
      </c>
      <c r="K6" s="356"/>
    </row>
    <row r="7" spans="2:17" s="114" customFormat="1" ht="14.45" customHeight="1" x14ac:dyDescent="0.2">
      <c r="C7" s="360" t="s">
        <v>4</v>
      </c>
      <c r="D7" s="451" t="str">
        <f>Header!$D$6</f>
        <v>KES</v>
      </c>
      <c r="E7" s="452"/>
      <c r="K7" s="356"/>
    </row>
    <row r="8" spans="2:17" s="114" customFormat="1" ht="14.45" customHeight="1" x14ac:dyDescent="0.2">
      <c r="C8" s="360" t="s">
        <v>105</v>
      </c>
      <c r="D8" s="451">
        <f>YEAR(Header!$D$11)</f>
        <v>2026</v>
      </c>
      <c r="E8" s="452"/>
      <c r="K8" s="356"/>
    </row>
    <row r="9" spans="2:17" s="114" customFormat="1" ht="14.45" customHeight="1" x14ac:dyDescent="0.2">
      <c r="C9" s="360" t="s">
        <v>11</v>
      </c>
      <c r="D9" s="451" t="str">
        <f>Header!$D$15</f>
        <v>Property</v>
      </c>
      <c r="E9" s="452"/>
      <c r="K9" s="356"/>
    </row>
    <row r="10" spans="2:17" s="114" customFormat="1" ht="14.45" customHeight="1" x14ac:dyDescent="0.2">
      <c r="C10" s="360" t="s">
        <v>106</v>
      </c>
      <c r="D10" s="431" t="s">
        <v>184</v>
      </c>
      <c r="E10" s="433"/>
      <c r="K10" s="356"/>
    </row>
    <row r="11" spans="2:17" s="114" customFormat="1" ht="14.45" customHeight="1" x14ac:dyDescent="0.2">
      <c r="C11" s="356"/>
      <c r="K11" s="356"/>
    </row>
    <row r="12" spans="2:17" s="114" customFormat="1" ht="14.45" customHeight="1" thickBot="1" x14ac:dyDescent="0.25">
      <c r="C12" s="356"/>
      <c r="K12" s="356"/>
    </row>
    <row r="13" spans="2:17" s="114" customFormat="1" ht="25.5" x14ac:dyDescent="0.2">
      <c r="B13" s="192" t="s">
        <v>124</v>
      </c>
      <c r="C13" s="357" t="s">
        <v>217</v>
      </c>
      <c r="D13" s="19" t="s">
        <v>218</v>
      </c>
      <c r="E13" s="19" t="s">
        <v>207</v>
      </c>
      <c r="F13" s="19" t="s">
        <v>208</v>
      </c>
      <c r="G13" s="19" t="s">
        <v>209</v>
      </c>
      <c r="H13" s="257" t="s">
        <v>210</v>
      </c>
      <c r="I13" s="261" t="s">
        <v>211</v>
      </c>
      <c r="J13" s="261" t="s">
        <v>212</v>
      </c>
      <c r="K13" s="385" t="s">
        <v>213</v>
      </c>
      <c r="L13" s="261" t="s">
        <v>214</v>
      </c>
      <c r="M13" s="253" t="s">
        <v>215</v>
      </c>
    </row>
    <row r="14" spans="2:17" s="114" customFormat="1" x14ac:dyDescent="0.2">
      <c r="B14" s="252">
        <v>2013</v>
      </c>
      <c r="C14" s="376"/>
      <c r="D14" s="20"/>
      <c r="E14" s="20"/>
      <c r="F14" s="20"/>
      <c r="G14" s="20"/>
      <c r="H14" s="258"/>
      <c r="I14" s="262"/>
      <c r="J14" s="262"/>
      <c r="K14" s="386">
        <f>I14+J14</f>
        <v>0</v>
      </c>
      <c r="L14" s="262"/>
      <c r="M14" s="254"/>
    </row>
    <row r="15" spans="2:17" s="114" customFormat="1" x14ac:dyDescent="0.2">
      <c r="B15" s="191">
        <v>2014</v>
      </c>
      <c r="C15" s="377"/>
      <c r="D15" s="21"/>
      <c r="E15" s="21"/>
      <c r="F15" s="21"/>
      <c r="G15" s="21"/>
      <c r="H15" s="259"/>
      <c r="I15" s="263"/>
      <c r="J15" s="263"/>
      <c r="K15" s="386">
        <f t="shared" ref="K15:K26" si="0">I15+J15</f>
        <v>0</v>
      </c>
      <c r="L15" s="263"/>
      <c r="M15" s="255"/>
    </row>
    <row r="16" spans="2:17" s="114" customFormat="1" x14ac:dyDescent="0.2">
      <c r="B16" s="252">
        <v>2015</v>
      </c>
      <c r="C16" s="378"/>
      <c r="D16" s="190"/>
      <c r="E16" s="190"/>
      <c r="F16" s="190"/>
      <c r="G16" s="190"/>
      <c r="H16" s="260"/>
      <c r="I16" s="264"/>
      <c r="J16" s="264"/>
      <c r="K16" s="386">
        <f t="shared" si="0"/>
        <v>0</v>
      </c>
      <c r="L16" s="264"/>
      <c r="M16" s="256"/>
    </row>
    <row r="17" spans="2:16" s="114" customFormat="1" x14ac:dyDescent="0.2">
      <c r="B17" s="191">
        <v>2016</v>
      </c>
      <c r="C17" s="379">
        <v>8881140099</v>
      </c>
      <c r="D17" s="381">
        <f>C17*95%</f>
        <v>8437083094.0499992</v>
      </c>
      <c r="E17" s="381">
        <f>D17*32.5%</f>
        <v>2742052005.5662498</v>
      </c>
      <c r="F17" s="382">
        <v>0.32500000000000001</v>
      </c>
      <c r="G17" s="381">
        <f>E17*25%</f>
        <v>685513001.39156246</v>
      </c>
      <c r="H17" s="383">
        <f>E17+G17</f>
        <v>3427565006.9578123</v>
      </c>
      <c r="I17" s="384">
        <f>D17*20%</f>
        <v>1687416618.8099999</v>
      </c>
      <c r="J17" s="384">
        <f>I17*70%</f>
        <v>1181191633.1669998</v>
      </c>
      <c r="K17" s="386">
        <f t="shared" si="0"/>
        <v>2868608251.9769998</v>
      </c>
      <c r="L17" s="388">
        <f>K17/D17</f>
        <v>0.34</v>
      </c>
      <c r="M17" s="393">
        <f>D17-H17-K17</f>
        <v>2140909835.1151872</v>
      </c>
    </row>
    <row r="18" spans="2:16" s="114" customFormat="1" x14ac:dyDescent="0.2">
      <c r="B18" s="252">
        <v>2017</v>
      </c>
      <c r="C18" s="379">
        <v>5264204343</v>
      </c>
      <c r="D18" s="381">
        <f t="shared" ref="D18:D26" si="1">C18*95%</f>
        <v>5000994125.8499994</v>
      </c>
      <c r="E18" s="381">
        <f t="shared" ref="E18:E26" si="2">D18*32.5%</f>
        <v>1625323090.9012499</v>
      </c>
      <c r="F18" s="382">
        <v>0.32500000000000001</v>
      </c>
      <c r="G18" s="381">
        <f t="shared" ref="G18:G26" si="3">E18*25%</f>
        <v>406330772.72531247</v>
      </c>
      <c r="H18" s="383">
        <f t="shared" ref="H18:H26" si="4">E18+G18</f>
        <v>2031653863.6265624</v>
      </c>
      <c r="I18" s="384">
        <f>D18*30%</f>
        <v>1500298237.7549999</v>
      </c>
      <c r="J18" s="384">
        <f t="shared" ref="J18:J26" si="5">I18*70%</f>
        <v>1050208766.4284998</v>
      </c>
      <c r="K18" s="386">
        <f t="shared" si="0"/>
        <v>2550507004.1834998</v>
      </c>
      <c r="L18" s="388">
        <f t="shared" ref="L18:L26" si="6">K18/D18</f>
        <v>0.51</v>
      </c>
      <c r="M18" s="393">
        <f t="shared" ref="M18:M26" si="7">D18-H18-K18</f>
        <v>418833258.0399375</v>
      </c>
      <c r="P18" s="393">
        <f t="shared" ref="P18" si="8">G18-K18-N18</f>
        <v>-2144176231.4581873</v>
      </c>
    </row>
    <row r="19" spans="2:16" s="114" customFormat="1" x14ac:dyDescent="0.2">
      <c r="B19" s="191">
        <v>2018</v>
      </c>
      <c r="C19" s="379">
        <v>7447527557</v>
      </c>
      <c r="D19" s="381">
        <f t="shared" si="1"/>
        <v>7075151179.1499996</v>
      </c>
      <c r="E19" s="381">
        <f t="shared" si="2"/>
        <v>2299424133.2237501</v>
      </c>
      <c r="F19" s="382">
        <v>0.32500000000000001</v>
      </c>
      <c r="G19" s="381">
        <f t="shared" si="3"/>
        <v>574856033.30593753</v>
      </c>
      <c r="H19" s="383">
        <f t="shared" si="4"/>
        <v>2874280166.5296879</v>
      </c>
      <c r="I19" s="384">
        <f>D19*55%</f>
        <v>3891333148.5325003</v>
      </c>
      <c r="J19" s="384">
        <f t="shared" si="5"/>
        <v>2723933203.9727502</v>
      </c>
      <c r="K19" s="386">
        <f t="shared" si="0"/>
        <v>6615266352.5052509</v>
      </c>
      <c r="L19" s="388">
        <f t="shared" si="6"/>
        <v>0.93500000000000016</v>
      </c>
      <c r="M19" s="393">
        <f t="shared" si="7"/>
        <v>-2414395339.8849392</v>
      </c>
    </row>
    <row r="20" spans="2:16" s="114" customFormat="1" x14ac:dyDescent="0.2">
      <c r="B20" s="252">
        <v>2019</v>
      </c>
      <c r="C20" s="379">
        <v>9062669989</v>
      </c>
      <c r="D20" s="381">
        <f t="shared" si="1"/>
        <v>8609536489.5499992</v>
      </c>
      <c r="E20" s="381">
        <f t="shared" si="2"/>
        <v>2798099359.1037498</v>
      </c>
      <c r="F20" s="382">
        <v>0.32500000000000001</v>
      </c>
      <c r="G20" s="381">
        <f t="shared" si="3"/>
        <v>699524839.77593744</v>
      </c>
      <c r="H20" s="383">
        <f t="shared" si="4"/>
        <v>3497624198.8796873</v>
      </c>
      <c r="I20" s="384">
        <f>D20*10%</f>
        <v>860953648.95499992</v>
      </c>
      <c r="J20" s="384">
        <f t="shared" si="5"/>
        <v>602667554.26849985</v>
      </c>
      <c r="K20" s="386">
        <f t="shared" si="0"/>
        <v>1463621203.2234998</v>
      </c>
      <c r="L20" s="388">
        <f t="shared" si="6"/>
        <v>0.16999999999999998</v>
      </c>
      <c r="M20" s="393">
        <f t="shared" si="7"/>
        <v>3648291087.4468122</v>
      </c>
    </row>
    <row r="21" spans="2:16" s="114" customFormat="1" x14ac:dyDescent="0.2">
      <c r="B21" s="191">
        <v>2020</v>
      </c>
      <c r="C21" s="379">
        <v>8893376767</v>
      </c>
      <c r="D21" s="381">
        <f t="shared" si="1"/>
        <v>8448707928.6499996</v>
      </c>
      <c r="E21" s="381">
        <f t="shared" si="2"/>
        <v>2745830076.8112497</v>
      </c>
      <c r="F21" s="382">
        <v>0.32500000000000001</v>
      </c>
      <c r="G21" s="381">
        <f t="shared" si="3"/>
        <v>686457519.20281243</v>
      </c>
      <c r="H21" s="383">
        <f t="shared" si="4"/>
        <v>3432287596.0140619</v>
      </c>
      <c r="I21" s="384">
        <f>D21*20%</f>
        <v>1689741585.73</v>
      </c>
      <c r="J21" s="384">
        <f t="shared" si="5"/>
        <v>1182819110.0109999</v>
      </c>
      <c r="K21" s="386">
        <f t="shared" si="0"/>
        <v>2872560695.7410002</v>
      </c>
      <c r="L21" s="388">
        <f t="shared" si="6"/>
        <v>0.34</v>
      </c>
      <c r="M21" s="393">
        <f t="shared" si="7"/>
        <v>2143859636.8949375</v>
      </c>
    </row>
    <row r="22" spans="2:16" s="114" customFormat="1" x14ac:dyDescent="0.2">
      <c r="B22" s="252">
        <v>2021</v>
      </c>
      <c r="C22" s="379">
        <v>6136953767</v>
      </c>
      <c r="D22" s="381">
        <f t="shared" si="1"/>
        <v>5830106078.6499996</v>
      </c>
      <c r="E22" s="381">
        <f t="shared" si="2"/>
        <v>1894784475.56125</v>
      </c>
      <c r="F22" s="382">
        <v>0.32500000000000001</v>
      </c>
      <c r="G22" s="381">
        <f t="shared" si="3"/>
        <v>473696118.89031249</v>
      </c>
      <c r="H22" s="383">
        <f t="shared" si="4"/>
        <v>2368480594.4515624</v>
      </c>
      <c r="I22" s="384">
        <f>D22*51%</f>
        <v>2973354100.1114998</v>
      </c>
      <c r="J22" s="384">
        <f t="shared" si="5"/>
        <v>2081347870.0780497</v>
      </c>
      <c r="K22" s="386">
        <f t="shared" si="0"/>
        <v>5054701970.1895494</v>
      </c>
      <c r="L22" s="388">
        <f t="shared" si="6"/>
        <v>0.86699999999999999</v>
      </c>
      <c r="M22" s="393">
        <f t="shared" si="7"/>
        <v>-1593076485.9911122</v>
      </c>
    </row>
    <row r="23" spans="2:16" s="114" customFormat="1" x14ac:dyDescent="0.2">
      <c r="B23" s="191">
        <v>2022</v>
      </c>
      <c r="C23" s="379">
        <v>8156011665</v>
      </c>
      <c r="D23" s="381">
        <f t="shared" si="1"/>
        <v>7748211081.75</v>
      </c>
      <c r="E23" s="381">
        <f t="shared" si="2"/>
        <v>2518168601.5687499</v>
      </c>
      <c r="F23" s="382">
        <v>0.32500000000000001</v>
      </c>
      <c r="G23" s="381">
        <f t="shared" si="3"/>
        <v>629542150.39218748</v>
      </c>
      <c r="H23" s="383">
        <f t="shared" si="4"/>
        <v>3147710751.9609375</v>
      </c>
      <c r="I23" s="384">
        <f>D23*23%</f>
        <v>1782088548.8025</v>
      </c>
      <c r="J23" s="384">
        <f t="shared" si="5"/>
        <v>1247461984.1617498</v>
      </c>
      <c r="K23" s="386">
        <f t="shared" si="0"/>
        <v>3029550532.9642496</v>
      </c>
      <c r="L23" s="388">
        <f t="shared" si="6"/>
        <v>0.39099999999999996</v>
      </c>
      <c r="M23" s="393">
        <f t="shared" si="7"/>
        <v>1570949796.8248129</v>
      </c>
    </row>
    <row r="24" spans="2:16" s="114" customFormat="1" x14ac:dyDescent="0.2">
      <c r="B24" s="252">
        <v>2023</v>
      </c>
      <c r="C24" s="379">
        <v>7013611787</v>
      </c>
      <c r="D24" s="381">
        <f t="shared" si="1"/>
        <v>6662931197.6499996</v>
      </c>
      <c r="E24" s="381">
        <f t="shared" si="2"/>
        <v>2165452639.2362499</v>
      </c>
      <c r="F24" s="382">
        <v>0.32500000000000001</v>
      </c>
      <c r="G24" s="381">
        <f t="shared" si="3"/>
        <v>541363159.80906248</v>
      </c>
      <c r="H24" s="383">
        <f t="shared" si="4"/>
        <v>2706815799.0453124</v>
      </c>
      <c r="I24" s="384">
        <f>D24*43%</f>
        <v>2865060414.9894996</v>
      </c>
      <c r="J24" s="384">
        <f t="shared" si="5"/>
        <v>2005542290.4926496</v>
      </c>
      <c r="K24" s="386">
        <f t="shared" si="0"/>
        <v>4870602705.4821491</v>
      </c>
      <c r="L24" s="388">
        <f t="shared" si="6"/>
        <v>0.73099999999999987</v>
      </c>
      <c r="M24" s="393">
        <f t="shared" si="7"/>
        <v>-914487306.87746191</v>
      </c>
    </row>
    <row r="25" spans="2:16" s="114" customFormat="1" x14ac:dyDescent="0.2">
      <c r="B25" s="191">
        <v>2024</v>
      </c>
      <c r="C25" s="379">
        <v>7557150989</v>
      </c>
      <c r="D25" s="381">
        <f t="shared" si="1"/>
        <v>7179293439.5499992</v>
      </c>
      <c r="E25" s="381">
        <f t="shared" si="2"/>
        <v>2333270367.8537498</v>
      </c>
      <c r="F25" s="382">
        <v>0.32500000000000001</v>
      </c>
      <c r="G25" s="381">
        <f t="shared" si="3"/>
        <v>583317591.96343744</v>
      </c>
      <c r="H25" s="383">
        <f t="shared" si="4"/>
        <v>2916587959.8171873</v>
      </c>
      <c r="I25" s="384">
        <f>D25*45%</f>
        <v>3230682047.7974997</v>
      </c>
      <c r="J25" s="384">
        <f t="shared" si="5"/>
        <v>2261477433.4582496</v>
      </c>
      <c r="K25" s="386">
        <f t="shared" si="0"/>
        <v>5492159481.2557487</v>
      </c>
      <c r="L25" s="388">
        <f t="shared" si="6"/>
        <v>0.7649999999999999</v>
      </c>
      <c r="M25" s="393">
        <f t="shared" si="7"/>
        <v>-1229454001.5229368</v>
      </c>
    </row>
    <row r="26" spans="2:16" s="114" customFormat="1" ht="13.5" thickBot="1" x14ac:dyDescent="0.25">
      <c r="B26" s="252">
        <v>2025</v>
      </c>
      <c r="C26" s="379">
        <v>8042459256</v>
      </c>
      <c r="D26" s="381">
        <f t="shared" si="1"/>
        <v>7640336293.1999998</v>
      </c>
      <c r="E26" s="381">
        <f t="shared" si="2"/>
        <v>2483109295.29</v>
      </c>
      <c r="F26" s="382">
        <v>0.32500000000000001</v>
      </c>
      <c r="G26" s="381">
        <f t="shared" si="3"/>
        <v>620777323.82249999</v>
      </c>
      <c r="H26" s="383">
        <f t="shared" si="4"/>
        <v>3103886619.1125002</v>
      </c>
      <c r="I26" s="384">
        <f>D26*60%</f>
        <v>4584201775.9200001</v>
      </c>
      <c r="J26" s="384">
        <f t="shared" si="5"/>
        <v>3208941243.1440001</v>
      </c>
      <c r="K26" s="386">
        <f t="shared" si="0"/>
        <v>7793143019.0640001</v>
      </c>
      <c r="L26" s="388">
        <f t="shared" si="6"/>
        <v>1.02</v>
      </c>
      <c r="M26" s="393">
        <f t="shared" si="7"/>
        <v>-3256693344.9765005</v>
      </c>
    </row>
    <row r="27" spans="2:16" s="356" customFormat="1" ht="13.5" thickBot="1" x14ac:dyDescent="0.25">
      <c r="B27" s="389" t="s">
        <v>216</v>
      </c>
      <c r="C27" s="380">
        <f>+SUM(C14:C26)</f>
        <v>76455106219</v>
      </c>
      <c r="D27" s="387">
        <f>+SUM(D14:D26)</f>
        <v>72632350908.049988</v>
      </c>
      <c r="E27" s="390">
        <f>+SUM(E14:E26)</f>
        <v>23605514045.116253</v>
      </c>
      <c r="F27" s="392">
        <f>+IFERROR(E27/D27,"")</f>
        <v>0.32500000000000012</v>
      </c>
      <c r="G27" s="387">
        <f>+SUM(G14:G26)</f>
        <v>5901378511.2790632</v>
      </c>
      <c r="H27" s="390">
        <f>+SUM(H14:H26)</f>
        <v>29506892556.395309</v>
      </c>
      <c r="I27" s="387">
        <f>+SUM(I14:I26)</f>
        <v>25065130127.403496</v>
      </c>
      <c r="J27" s="387">
        <f>+SUM(J14:J26)</f>
        <v>17545591089.182449</v>
      </c>
      <c r="K27" s="387">
        <f>+SUM(K14:K26)</f>
        <v>42610721216.585945</v>
      </c>
      <c r="L27" s="394">
        <f>+IFERROR(K27/D27,"")</f>
        <v>0.58666311476726984</v>
      </c>
      <c r="M27" s="391">
        <f>+D27-H27-K27</f>
        <v>514737135.06873322</v>
      </c>
    </row>
    <row r="28" spans="2:16" s="114" customFormat="1" ht="14.45" customHeight="1" x14ac:dyDescent="0.2">
      <c r="B28" s="182" t="s">
        <v>14</v>
      </c>
      <c r="C28" s="356"/>
      <c r="G28" s="115"/>
      <c r="H28" s="115"/>
      <c r="I28" s="115"/>
      <c r="J28" s="115"/>
      <c r="K28" s="354"/>
      <c r="L28" s="115"/>
      <c r="M28" s="115"/>
      <c r="N28" s="115"/>
    </row>
    <row r="29" spans="2:16" s="114" customFormat="1" ht="14.45" customHeight="1" x14ac:dyDescent="0.2">
      <c r="B29" s="466"/>
      <c r="C29" s="466"/>
      <c r="D29" s="466"/>
      <c r="E29" s="466"/>
      <c r="F29" s="115"/>
      <c r="G29" s="115"/>
      <c r="H29" s="115"/>
      <c r="I29" s="115"/>
      <c r="J29" s="115"/>
      <c r="K29" s="354"/>
      <c r="L29" s="115"/>
      <c r="M29" s="115"/>
      <c r="N29" s="115"/>
    </row>
    <row r="30" spans="2:16" s="114" customFormat="1" ht="14.45" customHeight="1" x14ac:dyDescent="0.2">
      <c r="B30" s="466"/>
      <c r="C30" s="466"/>
      <c r="D30" s="466"/>
      <c r="E30" s="466"/>
      <c r="F30" s="115"/>
      <c r="G30" s="115"/>
      <c r="H30" s="115"/>
      <c r="I30" s="115"/>
      <c r="J30" s="115"/>
      <c r="K30" s="354"/>
      <c r="L30" s="115"/>
      <c r="M30" s="115"/>
      <c r="N30" s="115"/>
    </row>
    <row r="31" spans="2:16" ht="13.35" customHeight="1" x14ac:dyDescent="0.2">
      <c r="B31" s="466"/>
      <c r="C31" s="466"/>
      <c r="D31" s="466"/>
      <c r="E31" s="466"/>
    </row>
    <row r="32" spans="2:16" ht="13.35" customHeigh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E27F-2882-4B28-AF0C-6EFC31CA5572}">
  <sheetPr>
    <tabColor rgb="FF26B8AD"/>
  </sheetPr>
  <dimension ref="B1:R72"/>
  <sheetViews>
    <sheetView topLeftCell="A11" workbookViewId="0">
      <selection activeCell="C52" sqref="C52:N61"/>
    </sheetView>
  </sheetViews>
  <sheetFormatPr defaultColWidth="11.42578125" defaultRowHeight="12.75" x14ac:dyDescent="0.2"/>
  <cols>
    <col min="1" max="1" width="2.85546875" style="115" customWidth="1"/>
    <col min="2" max="2" width="12.85546875" style="115" customWidth="1"/>
    <col min="3" max="3" width="22.42578125" style="115" bestFit="1" customWidth="1"/>
    <col min="4" max="4" width="22.85546875" style="354" bestFit="1" customWidth="1"/>
    <col min="5" max="6" width="20.5703125" style="354" bestFit="1" customWidth="1"/>
    <col min="7" max="7" width="12.85546875" style="361" customWidth="1"/>
    <col min="8" max="9" width="19" style="354" bestFit="1" customWidth="1"/>
    <col min="10" max="11" width="20.5703125" style="354" bestFit="1" customWidth="1"/>
    <col min="12" max="12" width="19" style="354" bestFit="1" customWidth="1"/>
    <col min="13" max="14" width="20.5703125" style="354" bestFit="1" customWidth="1"/>
    <col min="15" max="15" width="19.42578125" style="115" bestFit="1" customWidth="1"/>
    <col min="16" max="16" width="7.85546875" style="115" customWidth="1"/>
    <col min="17" max="258" width="11.42578125" style="115"/>
    <col min="259" max="259" width="6.85546875" style="115" customWidth="1"/>
    <col min="260" max="260" width="13.85546875" style="115" customWidth="1"/>
    <col min="261" max="261" width="1.5703125" style="115" customWidth="1"/>
    <col min="262" max="269" width="13.85546875" style="115" customWidth="1"/>
    <col min="270" max="514" width="11.42578125" style="115"/>
    <col min="515" max="515" width="6.85546875" style="115" customWidth="1"/>
    <col min="516" max="516" width="13.85546875" style="115" customWidth="1"/>
    <col min="517" max="517" width="1.5703125" style="115" customWidth="1"/>
    <col min="518" max="525" width="13.85546875" style="115" customWidth="1"/>
    <col min="526" max="770" width="11.42578125" style="115"/>
    <col min="771" max="771" width="6.85546875" style="115" customWidth="1"/>
    <col min="772" max="772" width="13.85546875" style="115" customWidth="1"/>
    <col min="773" max="773" width="1.5703125" style="115" customWidth="1"/>
    <col min="774" max="781" width="13.85546875" style="115" customWidth="1"/>
    <col min="782" max="1026" width="11.42578125" style="115"/>
    <col min="1027" max="1027" width="6.85546875" style="115" customWidth="1"/>
    <col min="1028" max="1028" width="13.85546875" style="115" customWidth="1"/>
    <col min="1029" max="1029" width="1.5703125" style="115" customWidth="1"/>
    <col min="1030" max="1037" width="13.85546875" style="115" customWidth="1"/>
    <col min="1038" max="1282" width="11.42578125" style="115"/>
    <col min="1283" max="1283" width="6.85546875" style="115" customWidth="1"/>
    <col min="1284" max="1284" width="13.85546875" style="115" customWidth="1"/>
    <col min="1285" max="1285" width="1.5703125" style="115" customWidth="1"/>
    <col min="1286" max="1293" width="13.85546875" style="115" customWidth="1"/>
    <col min="1294" max="1538" width="11.42578125" style="115"/>
    <col min="1539" max="1539" width="6.85546875" style="115" customWidth="1"/>
    <col min="1540" max="1540" width="13.85546875" style="115" customWidth="1"/>
    <col min="1541" max="1541" width="1.5703125" style="115" customWidth="1"/>
    <col min="1542" max="1549" width="13.85546875" style="115" customWidth="1"/>
    <col min="1550" max="1794" width="11.42578125" style="115"/>
    <col min="1795" max="1795" width="6.85546875" style="115" customWidth="1"/>
    <col min="1796" max="1796" width="13.85546875" style="115" customWidth="1"/>
    <col min="1797" max="1797" width="1.5703125" style="115" customWidth="1"/>
    <col min="1798" max="1805" width="13.85546875" style="115" customWidth="1"/>
    <col min="1806" max="2050" width="11.42578125" style="115"/>
    <col min="2051" max="2051" width="6.85546875" style="115" customWidth="1"/>
    <col min="2052" max="2052" width="13.85546875" style="115" customWidth="1"/>
    <col min="2053" max="2053" width="1.5703125" style="115" customWidth="1"/>
    <col min="2054" max="2061" width="13.85546875" style="115" customWidth="1"/>
    <col min="2062" max="2306" width="11.42578125" style="115"/>
    <col min="2307" max="2307" width="6.85546875" style="115" customWidth="1"/>
    <col min="2308" max="2308" width="13.85546875" style="115" customWidth="1"/>
    <col min="2309" max="2309" width="1.5703125" style="115" customWidth="1"/>
    <col min="2310" max="2317" width="13.85546875" style="115" customWidth="1"/>
    <col min="2318" max="2562" width="11.42578125" style="115"/>
    <col min="2563" max="2563" width="6.85546875" style="115" customWidth="1"/>
    <col min="2564" max="2564" width="13.85546875" style="115" customWidth="1"/>
    <col min="2565" max="2565" width="1.5703125" style="115" customWidth="1"/>
    <col min="2566" max="2573" width="13.85546875" style="115" customWidth="1"/>
    <col min="2574" max="2818" width="11.42578125" style="115"/>
    <col min="2819" max="2819" width="6.85546875" style="115" customWidth="1"/>
    <col min="2820" max="2820" width="13.85546875" style="115" customWidth="1"/>
    <col min="2821" max="2821" width="1.5703125" style="115" customWidth="1"/>
    <col min="2822" max="2829" width="13.85546875" style="115" customWidth="1"/>
    <col min="2830" max="3074" width="11.42578125" style="115"/>
    <col min="3075" max="3075" width="6.85546875" style="115" customWidth="1"/>
    <col min="3076" max="3076" width="13.85546875" style="115" customWidth="1"/>
    <col min="3077" max="3077" width="1.5703125" style="115" customWidth="1"/>
    <col min="3078" max="3085" width="13.85546875" style="115" customWidth="1"/>
    <col min="3086" max="3330" width="11.42578125" style="115"/>
    <col min="3331" max="3331" width="6.85546875" style="115" customWidth="1"/>
    <col min="3332" max="3332" width="13.85546875" style="115" customWidth="1"/>
    <col min="3333" max="3333" width="1.5703125" style="115" customWidth="1"/>
    <col min="3334" max="3341" width="13.85546875" style="115" customWidth="1"/>
    <col min="3342" max="3586" width="11.42578125" style="115"/>
    <col min="3587" max="3587" width="6.85546875" style="115" customWidth="1"/>
    <col min="3588" max="3588" width="13.85546875" style="115" customWidth="1"/>
    <col min="3589" max="3589" width="1.5703125" style="115" customWidth="1"/>
    <col min="3590" max="3597" width="13.85546875" style="115" customWidth="1"/>
    <col min="3598" max="3842" width="11.42578125" style="115"/>
    <col min="3843" max="3843" width="6.85546875" style="115" customWidth="1"/>
    <col min="3844" max="3844" width="13.85546875" style="115" customWidth="1"/>
    <col min="3845" max="3845" width="1.5703125" style="115" customWidth="1"/>
    <col min="3846" max="3853" width="13.85546875" style="115" customWidth="1"/>
    <col min="3854" max="4098" width="11.42578125" style="115"/>
    <col min="4099" max="4099" width="6.85546875" style="115" customWidth="1"/>
    <col min="4100" max="4100" width="13.85546875" style="115" customWidth="1"/>
    <col min="4101" max="4101" width="1.5703125" style="115" customWidth="1"/>
    <col min="4102" max="4109" width="13.85546875" style="115" customWidth="1"/>
    <col min="4110" max="4354" width="11.42578125" style="115"/>
    <col min="4355" max="4355" width="6.85546875" style="115" customWidth="1"/>
    <col min="4356" max="4356" width="13.85546875" style="115" customWidth="1"/>
    <col min="4357" max="4357" width="1.5703125" style="115" customWidth="1"/>
    <col min="4358" max="4365" width="13.85546875" style="115" customWidth="1"/>
    <col min="4366" max="4610" width="11.42578125" style="115"/>
    <col min="4611" max="4611" width="6.85546875" style="115" customWidth="1"/>
    <col min="4612" max="4612" width="13.85546875" style="115" customWidth="1"/>
    <col min="4613" max="4613" width="1.5703125" style="115" customWidth="1"/>
    <col min="4614" max="4621" width="13.85546875" style="115" customWidth="1"/>
    <col min="4622" max="4866" width="11.42578125" style="115"/>
    <col min="4867" max="4867" width="6.85546875" style="115" customWidth="1"/>
    <col min="4868" max="4868" width="13.85546875" style="115" customWidth="1"/>
    <col min="4869" max="4869" width="1.5703125" style="115" customWidth="1"/>
    <col min="4870" max="4877" width="13.85546875" style="115" customWidth="1"/>
    <col min="4878" max="5122" width="11.42578125" style="115"/>
    <col min="5123" max="5123" width="6.85546875" style="115" customWidth="1"/>
    <col min="5124" max="5124" width="13.85546875" style="115" customWidth="1"/>
    <col min="5125" max="5125" width="1.5703125" style="115" customWidth="1"/>
    <col min="5126" max="5133" width="13.85546875" style="115" customWidth="1"/>
    <col min="5134" max="5378" width="11.42578125" style="115"/>
    <col min="5379" max="5379" width="6.85546875" style="115" customWidth="1"/>
    <col min="5380" max="5380" width="13.85546875" style="115" customWidth="1"/>
    <col min="5381" max="5381" width="1.5703125" style="115" customWidth="1"/>
    <col min="5382" max="5389" width="13.85546875" style="115" customWidth="1"/>
    <col min="5390" max="5634" width="11.42578125" style="115"/>
    <col min="5635" max="5635" width="6.85546875" style="115" customWidth="1"/>
    <col min="5636" max="5636" width="13.85546875" style="115" customWidth="1"/>
    <col min="5637" max="5637" width="1.5703125" style="115" customWidth="1"/>
    <col min="5638" max="5645" width="13.85546875" style="115" customWidth="1"/>
    <col min="5646" max="5890" width="11.42578125" style="115"/>
    <col min="5891" max="5891" width="6.85546875" style="115" customWidth="1"/>
    <col min="5892" max="5892" width="13.85546875" style="115" customWidth="1"/>
    <col min="5893" max="5893" width="1.5703125" style="115" customWidth="1"/>
    <col min="5894" max="5901" width="13.85546875" style="115" customWidth="1"/>
    <col min="5902" max="6146" width="11.42578125" style="115"/>
    <col min="6147" max="6147" width="6.85546875" style="115" customWidth="1"/>
    <col min="6148" max="6148" width="13.85546875" style="115" customWidth="1"/>
    <col min="6149" max="6149" width="1.5703125" style="115" customWidth="1"/>
    <col min="6150" max="6157" width="13.85546875" style="115" customWidth="1"/>
    <col min="6158" max="6402" width="11.42578125" style="115"/>
    <col min="6403" max="6403" width="6.85546875" style="115" customWidth="1"/>
    <col min="6404" max="6404" width="13.85546875" style="115" customWidth="1"/>
    <col min="6405" max="6405" width="1.5703125" style="115" customWidth="1"/>
    <col min="6406" max="6413" width="13.85546875" style="115" customWidth="1"/>
    <col min="6414" max="6658" width="11.42578125" style="115"/>
    <col min="6659" max="6659" width="6.85546875" style="115" customWidth="1"/>
    <col min="6660" max="6660" width="13.85546875" style="115" customWidth="1"/>
    <col min="6661" max="6661" width="1.5703125" style="115" customWidth="1"/>
    <col min="6662" max="6669" width="13.85546875" style="115" customWidth="1"/>
    <col min="6670" max="6914" width="11.42578125" style="115"/>
    <col min="6915" max="6915" width="6.85546875" style="115" customWidth="1"/>
    <col min="6916" max="6916" width="13.85546875" style="115" customWidth="1"/>
    <col min="6917" max="6917" width="1.5703125" style="115" customWidth="1"/>
    <col min="6918" max="6925" width="13.85546875" style="115" customWidth="1"/>
    <col min="6926" max="7170" width="11.42578125" style="115"/>
    <col min="7171" max="7171" width="6.85546875" style="115" customWidth="1"/>
    <col min="7172" max="7172" width="13.85546875" style="115" customWidth="1"/>
    <col min="7173" max="7173" width="1.5703125" style="115" customWidth="1"/>
    <col min="7174" max="7181" width="13.85546875" style="115" customWidth="1"/>
    <col min="7182" max="7426" width="11.42578125" style="115"/>
    <col min="7427" max="7427" width="6.85546875" style="115" customWidth="1"/>
    <col min="7428" max="7428" width="13.85546875" style="115" customWidth="1"/>
    <col min="7429" max="7429" width="1.5703125" style="115" customWidth="1"/>
    <col min="7430" max="7437" width="13.85546875" style="115" customWidth="1"/>
    <col min="7438" max="7682" width="11.42578125" style="115"/>
    <col min="7683" max="7683" width="6.85546875" style="115" customWidth="1"/>
    <col min="7684" max="7684" width="13.85546875" style="115" customWidth="1"/>
    <col min="7685" max="7685" width="1.5703125" style="115" customWidth="1"/>
    <col min="7686" max="7693" width="13.85546875" style="115" customWidth="1"/>
    <col min="7694" max="7938" width="11.42578125" style="115"/>
    <col min="7939" max="7939" width="6.85546875" style="115" customWidth="1"/>
    <col min="7940" max="7940" width="13.85546875" style="115" customWidth="1"/>
    <col min="7941" max="7941" width="1.5703125" style="115" customWidth="1"/>
    <col min="7942" max="7949" width="13.85546875" style="115" customWidth="1"/>
    <col min="7950" max="8194" width="11.42578125" style="115"/>
    <col min="8195" max="8195" width="6.85546875" style="115" customWidth="1"/>
    <col min="8196" max="8196" width="13.85546875" style="115" customWidth="1"/>
    <col min="8197" max="8197" width="1.5703125" style="115" customWidth="1"/>
    <col min="8198" max="8205" width="13.85546875" style="115" customWidth="1"/>
    <col min="8206" max="8450" width="11.42578125" style="115"/>
    <col min="8451" max="8451" width="6.85546875" style="115" customWidth="1"/>
    <col min="8452" max="8452" width="13.85546875" style="115" customWidth="1"/>
    <col min="8453" max="8453" width="1.5703125" style="115" customWidth="1"/>
    <col min="8454" max="8461" width="13.85546875" style="115" customWidth="1"/>
    <col min="8462" max="8706" width="11.42578125" style="115"/>
    <col min="8707" max="8707" width="6.85546875" style="115" customWidth="1"/>
    <col min="8708" max="8708" width="13.85546875" style="115" customWidth="1"/>
    <col min="8709" max="8709" width="1.5703125" style="115" customWidth="1"/>
    <col min="8710" max="8717" width="13.85546875" style="115" customWidth="1"/>
    <col min="8718" max="8962" width="11.42578125" style="115"/>
    <col min="8963" max="8963" width="6.85546875" style="115" customWidth="1"/>
    <col min="8964" max="8964" width="13.85546875" style="115" customWidth="1"/>
    <col min="8965" max="8965" width="1.5703125" style="115" customWidth="1"/>
    <col min="8966" max="8973" width="13.85546875" style="115" customWidth="1"/>
    <col min="8974" max="9218" width="11.42578125" style="115"/>
    <col min="9219" max="9219" width="6.85546875" style="115" customWidth="1"/>
    <col min="9220" max="9220" width="13.85546875" style="115" customWidth="1"/>
    <col min="9221" max="9221" width="1.5703125" style="115" customWidth="1"/>
    <col min="9222" max="9229" width="13.85546875" style="115" customWidth="1"/>
    <col min="9230" max="9474" width="11.42578125" style="115"/>
    <col min="9475" max="9475" width="6.85546875" style="115" customWidth="1"/>
    <col min="9476" max="9476" width="13.85546875" style="115" customWidth="1"/>
    <col min="9477" max="9477" width="1.5703125" style="115" customWidth="1"/>
    <col min="9478" max="9485" width="13.85546875" style="115" customWidth="1"/>
    <col min="9486" max="9730" width="11.42578125" style="115"/>
    <col min="9731" max="9731" width="6.85546875" style="115" customWidth="1"/>
    <col min="9732" max="9732" width="13.85546875" style="115" customWidth="1"/>
    <col min="9733" max="9733" width="1.5703125" style="115" customWidth="1"/>
    <col min="9734" max="9741" width="13.85546875" style="115" customWidth="1"/>
    <col min="9742" max="9986" width="11.42578125" style="115"/>
    <col min="9987" max="9987" width="6.85546875" style="115" customWidth="1"/>
    <col min="9988" max="9988" width="13.85546875" style="115" customWidth="1"/>
    <col min="9989" max="9989" width="1.5703125" style="115" customWidth="1"/>
    <col min="9990" max="9997" width="13.85546875" style="115" customWidth="1"/>
    <col min="9998" max="10242" width="11.42578125" style="115"/>
    <col min="10243" max="10243" width="6.85546875" style="115" customWidth="1"/>
    <col min="10244" max="10244" width="13.85546875" style="115" customWidth="1"/>
    <col min="10245" max="10245" width="1.5703125" style="115" customWidth="1"/>
    <col min="10246" max="10253" width="13.85546875" style="115" customWidth="1"/>
    <col min="10254" max="10498" width="11.42578125" style="115"/>
    <col min="10499" max="10499" width="6.85546875" style="115" customWidth="1"/>
    <col min="10500" max="10500" width="13.85546875" style="115" customWidth="1"/>
    <col min="10501" max="10501" width="1.5703125" style="115" customWidth="1"/>
    <col min="10502" max="10509" width="13.85546875" style="115" customWidth="1"/>
    <col min="10510" max="10754" width="11.42578125" style="115"/>
    <col min="10755" max="10755" width="6.85546875" style="115" customWidth="1"/>
    <col min="10756" max="10756" width="13.85546875" style="115" customWidth="1"/>
    <col min="10757" max="10757" width="1.5703125" style="115" customWidth="1"/>
    <col min="10758" max="10765" width="13.85546875" style="115" customWidth="1"/>
    <col min="10766" max="11010" width="11.42578125" style="115"/>
    <col min="11011" max="11011" width="6.85546875" style="115" customWidth="1"/>
    <col min="11012" max="11012" width="13.85546875" style="115" customWidth="1"/>
    <col min="11013" max="11013" width="1.5703125" style="115" customWidth="1"/>
    <col min="11014" max="11021" width="13.85546875" style="115" customWidth="1"/>
    <col min="11022" max="11266" width="11.42578125" style="115"/>
    <col min="11267" max="11267" width="6.85546875" style="115" customWidth="1"/>
    <col min="11268" max="11268" width="13.85546875" style="115" customWidth="1"/>
    <col min="11269" max="11269" width="1.5703125" style="115" customWidth="1"/>
    <col min="11270" max="11277" width="13.85546875" style="115" customWidth="1"/>
    <col min="11278" max="11522" width="11.42578125" style="115"/>
    <col min="11523" max="11523" width="6.85546875" style="115" customWidth="1"/>
    <col min="11524" max="11524" width="13.85546875" style="115" customWidth="1"/>
    <col min="11525" max="11525" width="1.5703125" style="115" customWidth="1"/>
    <col min="11526" max="11533" width="13.85546875" style="115" customWidth="1"/>
    <col min="11534" max="11778" width="11.42578125" style="115"/>
    <col min="11779" max="11779" width="6.85546875" style="115" customWidth="1"/>
    <col min="11780" max="11780" width="13.85546875" style="115" customWidth="1"/>
    <col min="11781" max="11781" width="1.5703125" style="115" customWidth="1"/>
    <col min="11782" max="11789" width="13.85546875" style="115" customWidth="1"/>
    <col min="11790" max="12034" width="11.42578125" style="115"/>
    <col min="12035" max="12035" width="6.85546875" style="115" customWidth="1"/>
    <col min="12036" max="12036" width="13.85546875" style="115" customWidth="1"/>
    <col min="12037" max="12037" width="1.5703125" style="115" customWidth="1"/>
    <col min="12038" max="12045" width="13.85546875" style="115" customWidth="1"/>
    <col min="12046" max="12290" width="11.42578125" style="115"/>
    <col min="12291" max="12291" width="6.85546875" style="115" customWidth="1"/>
    <col min="12292" max="12292" width="13.85546875" style="115" customWidth="1"/>
    <col min="12293" max="12293" width="1.5703125" style="115" customWidth="1"/>
    <col min="12294" max="12301" width="13.85546875" style="115" customWidth="1"/>
    <col min="12302" max="12546" width="11.42578125" style="115"/>
    <col min="12547" max="12547" width="6.85546875" style="115" customWidth="1"/>
    <col min="12548" max="12548" width="13.85546875" style="115" customWidth="1"/>
    <col min="12549" max="12549" width="1.5703125" style="115" customWidth="1"/>
    <col min="12550" max="12557" width="13.85546875" style="115" customWidth="1"/>
    <col min="12558" max="12802" width="11.42578125" style="115"/>
    <col min="12803" max="12803" width="6.85546875" style="115" customWidth="1"/>
    <col min="12804" max="12804" width="13.85546875" style="115" customWidth="1"/>
    <col min="12805" max="12805" width="1.5703125" style="115" customWidth="1"/>
    <col min="12806" max="12813" width="13.85546875" style="115" customWidth="1"/>
    <col min="12814" max="13058" width="11.42578125" style="115"/>
    <col min="13059" max="13059" width="6.85546875" style="115" customWidth="1"/>
    <col min="13060" max="13060" width="13.85546875" style="115" customWidth="1"/>
    <col min="13061" max="13061" width="1.5703125" style="115" customWidth="1"/>
    <col min="13062" max="13069" width="13.85546875" style="115" customWidth="1"/>
    <col min="13070" max="13314" width="11.42578125" style="115"/>
    <col min="13315" max="13315" width="6.85546875" style="115" customWidth="1"/>
    <col min="13316" max="13316" width="13.85546875" style="115" customWidth="1"/>
    <col min="13317" max="13317" width="1.5703125" style="115" customWidth="1"/>
    <col min="13318" max="13325" width="13.85546875" style="115" customWidth="1"/>
    <col min="13326" max="13570" width="11.42578125" style="115"/>
    <col min="13571" max="13571" width="6.85546875" style="115" customWidth="1"/>
    <col min="13572" max="13572" width="13.85546875" style="115" customWidth="1"/>
    <col min="13573" max="13573" width="1.5703125" style="115" customWidth="1"/>
    <col min="13574" max="13581" width="13.85546875" style="115" customWidth="1"/>
    <col min="13582" max="13826" width="11.42578125" style="115"/>
    <col min="13827" max="13827" width="6.85546875" style="115" customWidth="1"/>
    <col min="13828" max="13828" width="13.85546875" style="115" customWidth="1"/>
    <col min="13829" max="13829" width="1.5703125" style="115" customWidth="1"/>
    <col min="13830" max="13837" width="13.85546875" style="115" customWidth="1"/>
    <col min="13838" max="14082" width="11.42578125" style="115"/>
    <col min="14083" max="14083" width="6.85546875" style="115" customWidth="1"/>
    <col min="14084" max="14084" width="13.85546875" style="115" customWidth="1"/>
    <col min="14085" max="14085" width="1.5703125" style="115" customWidth="1"/>
    <col min="14086" max="14093" width="13.85546875" style="115" customWidth="1"/>
    <col min="14094" max="14338" width="11.42578125" style="115"/>
    <col min="14339" max="14339" width="6.85546875" style="115" customWidth="1"/>
    <col min="14340" max="14340" width="13.85546875" style="115" customWidth="1"/>
    <col min="14341" max="14341" width="1.5703125" style="115" customWidth="1"/>
    <col min="14342" max="14349" width="13.85546875" style="115" customWidth="1"/>
    <col min="14350" max="14594" width="11.42578125" style="115"/>
    <col min="14595" max="14595" width="6.85546875" style="115" customWidth="1"/>
    <col min="14596" max="14596" width="13.85546875" style="115" customWidth="1"/>
    <col min="14597" max="14597" width="1.5703125" style="115" customWidth="1"/>
    <col min="14598" max="14605" width="13.85546875" style="115" customWidth="1"/>
    <col min="14606" max="14850" width="11.42578125" style="115"/>
    <col min="14851" max="14851" width="6.85546875" style="115" customWidth="1"/>
    <col min="14852" max="14852" width="13.85546875" style="115" customWidth="1"/>
    <col min="14853" max="14853" width="1.5703125" style="115" customWidth="1"/>
    <col min="14854" max="14861" width="13.85546875" style="115" customWidth="1"/>
    <col min="14862" max="15106" width="11.42578125" style="115"/>
    <col min="15107" max="15107" width="6.85546875" style="115" customWidth="1"/>
    <col min="15108" max="15108" width="13.85546875" style="115" customWidth="1"/>
    <col min="15109" max="15109" width="1.5703125" style="115" customWidth="1"/>
    <col min="15110" max="15117" width="13.85546875" style="115" customWidth="1"/>
    <col min="15118" max="15362" width="11.42578125" style="115"/>
    <col min="15363" max="15363" width="6.85546875" style="115" customWidth="1"/>
    <col min="15364" max="15364" width="13.85546875" style="115" customWidth="1"/>
    <col min="15365" max="15365" width="1.5703125" style="115" customWidth="1"/>
    <col min="15366" max="15373" width="13.85546875" style="115" customWidth="1"/>
    <col min="15374" max="15618" width="11.42578125" style="115"/>
    <col min="15619" max="15619" width="6.85546875" style="115" customWidth="1"/>
    <col min="15620" max="15620" width="13.85546875" style="115" customWidth="1"/>
    <col min="15621" max="15621" width="1.5703125" style="115" customWidth="1"/>
    <col min="15622" max="15629" width="13.85546875" style="115" customWidth="1"/>
    <col min="15630" max="15874" width="11.42578125" style="115"/>
    <col min="15875" max="15875" width="6.85546875" style="115" customWidth="1"/>
    <col min="15876" max="15876" width="13.85546875" style="115" customWidth="1"/>
    <col min="15877" max="15877" width="1.5703125" style="115" customWidth="1"/>
    <col min="15878" max="15885" width="13.85546875" style="115" customWidth="1"/>
    <col min="15886" max="16130" width="11.42578125" style="115"/>
    <col min="16131" max="16131" width="6.85546875" style="115" customWidth="1"/>
    <col min="16132" max="16132" width="13.85546875" style="115" customWidth="1"/>
    <col min="16133" max="16133" width="1.5703125" style="115" customWidth="1"/>
    <col min="16134" max="16141" width="13.85546875" style="115" customWidth="1"/>
    <col min="16142" max="16384" width="11.42578125" style="115"/>
  </cols>
  <sheetData>
    <row r="1" spans="2:18" ht="13.5" thickBot="1" x14ac:dyDescent="0.25"/>
    <row r="2" spans="2:18" ht="47.1" customHeight="1" thickBot="1" x14ac:dyDescent="0.25">
      <c r="B2" s="437" t="s">
        <v>108</v>
      </c>
      <c r="C2" s="438"/>
      <c r="D2" s="438"/>
      <c r="E2" s="438"/>
      <c r="F2" s="438"/>
      <c r="G2" s="438"/>
      <c r="H2" s="438"/>
      <c r="I2" s="438"/>
      <c r="J2" s="438"/>
      <c r="K2" s="438"/>
      <c r="L2" s="438"/>
      <c r="M2" s="438"/>
      <c r="N2" s="438"/>
      <c r="O2" s="439"/>
    </row>
    <row r="3" spans="2:18" ht="14.45" customHeight="1" x14ac:dyDescent="0.4">
      <c r="D3" s="358"/>
      <c r="E3" s="358"/>
      <c r="F3" s="358"/>
      <c r="G3" s="362"/>
      <c r="H3" s="358"/>
      <c r="I3" s="358"/>
    </row>
    <row r="4" spans="2:18" s="114" customFormat="1" ht="14.45" customHeight="1" x14ac:dyDescent="0.2">
      <c r="D4" s="356"/>
      <c r="E4" s="356"/>
      <c r="F4" s="356"/>
      <c r="G4" s="363"/>
      <c r="H4" s="356"/>
      <c r="I4" s="356"/>
      <c r="J4" s="356"/>
      <c r="K4" s="359"/>
      <c r="L4" s="356"/>
      <c r="M4" s="356"/>
      <c r="N4" s="355"/>
      <c r="O4" s="113"/>
      <c r="P4" s="113"/>
      <c r="Q4" s="113"/>
      <c r="R4" s="113"/>
    </row>
    <row r="5" spans="2:18" s="114" customFormat="1" ht="14.45" customHeight="1" x14ac:dyDescent="0.2">
      <c r="D5" s="360" t="s">
        <v>103</v>
      </c>
      <c r="E5" s="469" t="str">
        <f>Header!$D$4</f>
        <v>ZARAI REINSURANCE CORPORATION</v>
      </c>
      <c r="F5" s="470"/>
      <c r="G5" s="363"/>
      <c r="H5" s="356"/>
      <c r="I5" s="356"/>
      <c r="J5" s="356"/>
      <c r="K5" s="356"/>
      <c r="L5" s="356"/>
      <c r="M5" s="356"/>
      <c r="N5" s="356"/>
      <c r="O5" s="113"/>
    </row>
    <row r="6" spans="2:18" s="114" customFormat="1" ht="14.45" customHeight="1" x14ac:dyDescent="0.2">
      <c r="D6" s="360" t="s">
        <v>3</v>
      </c>
      <c r="E6" s="469" t="str">
        <f>Header!$D$5</f>
        <v>Kenya</v>
      </c>
      <c r="F6" s="470"/>
      <c r="G6" s="363" t="s">
        <v>104</v>
      </c>
      <c r="H6" s="356"/>
      <c r="I6" s="356"/>
      <c r="J6" s="356"/>
      <c r="K6" s="356"/>
      <c r="L6" s="356"/>
      <c r="M6" s="356"/>
      <c r="N6" s="356"/>
    </row>
    <row r="7" spans="2:18" s="114" customFormat="1" ht="14.45" customHeight="1" x14ac:dyDescent="0.2">
      <c r="D7" s="360" t="s">
        <v>4</v>
      </c>
      <c r="E7" s="469" t="str">
        <f>Header!$D$6</f>
        <v>KES</v>
      </c>
      <c r="F7" s="470"/>
      <c r="G7" s="363"/>
      <c r="H7" s="356"/>
      <c r="I7" s="356"/>
      <c r="J7" s="356"/>
      <c r="K7" s="356"/>
      <c r="L7" s="356"/>
      <c r="M7" s="356"/>
      <c r="N7" s="356"/>
    </row>
    <row r="8" spans="2:18" s="114" customFormat="1" ht="14.45" customHeight="1" x14ac:dyDescent="0.2">
      <c r="D8" s="360" t="s">
        <v>105</v>
      </c>
      <c r="E8" s="471">
        <f>YEAR(Header!$D$11)</f>
        <v>2026</v>
      </c>
      <c r="F8" s="472"/>
      <c r="G8" s="363"/>
      <c r="H8" s="356"/>
      <c r="I8" s="356"/>
      <c r="J8" s="356"/>
      <c r="K8" s="356"/>
      <c r="L8" s="356"/>
      <c r="M8" s="356"/>
      <c r="N8" s="356"/>
    </row>
    <row r="9" spans="2:18" s="114" customFormat="1" ht="14.45" customHeight="1" x14ac:dyDescent="0.2">
      <c r="D9" s="360" t="s">
        <v>11</v>
      </c>
      <c r="E9" s="467" t="str">
        <f>Header!$D$15</f>
        <v>Property</v>
      </c>
      <c r="F9" s="468"/>
      <c r="G9" s="363"/>
      <c r="H9" s="356"/>
      <c r="I9" s="356"/>
      <c r="J9" s="356"/>
      <c r="K9" s="356"/>
      <c r="L9" s="356"/>
      <c r="M9" s="356"/>
      <c r="N9" s="356"/>
    </row>
    <row r="10" spans="2:18" s="114" customFormat="1" ht="14.45" customHeight="1" x14ac:dyDescent="0.2">
      <c r="D10" s="360" t="s">
        <v>106</v>
      </c>
      <c r="E10" s="473" t="s">
        <v>184</v>
      </c>
      <c r="F10" s="474"/>
      <c r="G10" s="363"/>
      <c r="H10" s="356"/>
      <c r="I10" s="356"/>
      <c r="J10" s="356"/>
      <c r="K10" s="356"/>
      <c r="L10" s="356"/>
      <c r="M10" s="356"/>
      <c r="N10" s="356"/>
    </row>
    <row r="11" spans="2:18" s="114" customFormat="1" ht="14.45" customHeight="1" x14ac:dyDescent="0.2">
      <c r="D11" s="356"/>
      <c r="E11" s="356"/>
      <c r="F11" s="356"/>
      <c r="G11" s="363"/>
      <c r="H11" s="356"/>
      <c r="I11" s="356"/>
      <c r="J11" s="356"/>
      <c r="K11" s="356"/>
      <c r="L11" s="356"/>
      <c r="M11" s="356"/>
      <c r="N11" s="356"/>
    </row>
    <row r="12" spans="2:18" s="114" customFormat="1" ht="14.45" customHeight="1" x14ac:dyDescent="0.2">
      <c r="D12" s="356"/>
      <c r="E12" s="356"/>
      <c r="F12" s="356"/>
      <c r="G12" s="363"/>
      <c r="H12" s="356"/>
      <c r="I12" s="356"/>
      <c r="J12" s="356"/>
      <c r="K12" s="356"/>
      <c r="L12" s="356"/>
      <c r="M12" s="356"/>
      <c r="N12" s="356"/>
    </row>
    <row r="13" spans="2:18" s="114" customFormat="1" ht="28.5" hidden="1" customHeight="1" thickBot="1" x14ac:dyDescent="0.25">
      <c r="B13" s="475" t="s">
        <v>227</v>
      </c>
      <c r="C13" s="476"/>
      <c r="D13" s="476"/>
      <c r="E13" s="476"/>
      <c r="F13" s="476"/>
      <c r="G13" s="476"/>
      <c r="H13" s="476"/>
      <c r="I13" s="476"/>
      <c r="J13" s="476"/>
      <c r="K13" s="476"/>
      <c r="L13" s="476"/>
      <c r="M13" s="476"/>
      <c r="N13" s="477"/>
    </row>
    <row r="14" spans="2:18" s="114" customFormat="1" ht="39" hidden="1" customHeight="1" x14ac:dyDescent="0.2">
      <c r="B14" s="19" t="s">
        <v>219</v>
      </c>
      <c r="C14" s="19"/>
      <c r="D14" s="357" t="s">
        <v>220</v>
      </c>
      <c r="E14" s="357" t="s">
        <v>221</v>
      </c>
      <c r="F14" s="357" t="s">
        <v>222</v>
      </c>
      <c r="G14" s="364" t="s">
        <v>223</v>
      </c>
      <c r="H14" s="357" t="s">
        <v>224</v>
      </c>
      <c r="I14" s="357" t="s">
        <v>218</v>
      </c>
      <c r="J14" s="357" t="s">
        <v>225</v>
      </c>
      <c r="K14" s="357" t="s">
        <v>211</v>
      </c>
      <c r="L14" s="357" t="s">
        <v>212</v>
      </c>
      <c r="M14" s="357" t="s">
        <v>213</v>
      </c>
      <c r="N14" s="357" t="s">
        <v>226</v>
      </c>
    </row>
    <row r="15" spans="2:18" s="114" customFormat="1" hidden="1" x14ac:dyDescent="0.2">
      <c r="B15" s="266">
        <v>2014</v>
      </c>
      <c r="C15" s="371"/>
      <c r="D15" s="265"/>
      <c r="E15" s="265"/>
      <c r="F15" s="265"/>
      <c r="G15" s="350"/>
      <c r="H15" s="265"/>
      <c r="I15" s="265"/>
      <c r="J15" s="265"/>
      <c r="K15" s="265"/>
      <c r="L15" s="265"/>
      <c r="M15" s="265">
        <f>SUM(K15:L15)</f>
        <v>0</v>
      </c>
      <c r="N15" s="351">
        <f>SUM(I15+J15-M15)</f>
        <v>0</v>
      </c>
    </row>
    <row r="16" spans="2:18" s="114" customFormat="1" hidden="1" x14ac:dyDescent="0.2">
      <c r="B16" s="266">
        <v>2015</v>
      </c>
      <c r="C16" s="371"/>
      <c r="D16" s="265"/>
      <c r="E16" s="265"/>
      <c r="F16" s="265"/>
      <c r="G16" s="350"/>
      <c r="H16" s="265"/>
      <c r="I16" s="265"/>
      <c r="J16" s="265"/>
      <c r="K16" s="265"/>
      <c r="L16" s="265"/>
      <c r="M16" s="265">
        <f t="shared" ref="M16:M17" si="0">SUM(K16:L16)</f>
        <v>0</v>
      </c>
      <c r="N16" s="351">
        <f t="shared" ref="N16:N17" si="1">SUM(I16+J16-M16)</f>
        <v>0</v>
      </c>
    </row>
    <row r="17" spans="2:14" s="114" customFormat="1" hidden="1" x14ac:dyDescent="0.2">
      <c r="B17" s="266">
        <v>2016</v>
      </c>
      <c r="C17" s="371"/>
      <c r="D17" s="265"/>
      <c r="E17" s="265"/>
      <c r="F17" s="265"/>
      <c r="G17" s="350"/>
      <c r="H17" s="265"/>
      <c r="I17" s="265"/>
      <c r="J17" s="265"/>
      <c r="K17" s="265"/>
      <c r="L17" s="265"/>
      <c r="M17" s="265">
        <f t="shared" si="0"/>
        <v>0</v>
      </c>
      <c r="N17" s="351">
        <f t="shared" si="1"/>
        <v>0</v>
      </c>
    </row>
    <row r="18" spans="2:14" s="114" customFormat="1" hidden="1" x14ac:dyDescent="0.2">
      <c r="B18" s="266"/>
      <c r="C18" s="371"/>
      <c r="D18" s="366"/>
      <c r="E18" s="366"/>
      <c r="F18" s="366"/>
      <c r="G18" s="366"/>
      <c r="H18" s="366"/>
      <c r="I18" s="366"/>
      <c r="J18" s="366"/>
      <c r="K18" s="366"/>
      <c r="L18" s="366"/>
      <c r="M18" s="366"/>
      <c r="N18" s="366"/>
    </row>
    <row r="19" spans="2:14" s="114" customFormat="1" hidden="1" x14ac:dyDescent="0.2">
      <c r="B19" s="266"/>
      <c r="C19" s="371"/>
      <c r="D19" s="366"/>
      <c r="E19" s="366"/>
      <c r="F19" s="366"/>
      <c r="G19" s="366"/>
      <c r="H19" s="366"/>
      <c r="I19" s="366"/>
      <c r="J19" s="366"/>
      <c r="K19" s="366"/>
      <c r="L19" s="366"/>
      <c r="M19" s="366"/>
      <c r="N19" s="366"/>
    </row>
    <row r="20" spans="2:14" s="114" customFormat="1" hidden="1" x14ac:dyDescent="0.2">
      <c r="B20" s="266"/>
      <c r="C20" s="371"/>
      <c r="D20" s="366"/>
      <c r="E20" s="366"/>
      <c r="F20" s="366"/>
      <c r="G20" s="366"/>
      <c r="H20" s="366"/>
      <c r="I20" s="366"/>
      <c r="J20" s="366"/>
      <c r="K20" s="366"/>
      <c r="L20" s="366"/>
      <c r="M20" s="366"/>
      <c r="N20" s="366"/>
    </row>
    <row r="21" spans="2:14" s="114" customFormat="1" hidden="1" x14ac:dyDescent="0.2">
      <c r="B21" s="266"/>
      <c r="C21" s="371"/>
      <c r="D21" s="366"/>
      <c r="E21" s="366"/>
      <c r="F21" s="366"/>
      <c r="G21" s="366"/>
      <c r="H21" s="366"/>
      <c r="I21" s="366"/>
      <c r="J21" s="366"/>
      <c r="K21" s="366"/>
      <c r="L21" s="366"/>
      <c r="M21" s="366"/>
      <c r="N21" s="366"/>
    </row>
    <row r="22" spans="2:14" s="114" customFormat="1" hidden="1" x14ac:dyDescent="0.2">
      <c r="B22" s="266"/>
      <c r="C22" s="371"/>
      <c r="D22" s="366"/>
      <c r="E22" s="366"/>
      <c r="F22" s="366"/>
      <c r="G22" s="366"/>
      <c r="H22" s="366"/>
      <c r="I22" s="366"/>
      <c r="J22" s="366"/>
      <c r="K22" s="366"/>
      <c r="L22" s="366"/>
      <c r="M22" s="366"/>
      <c r="N22" s="366"/>
    </row>
    <row r="23" spans="2:14" s="114" customFormat="1" hidden="1" x14ac:dyDescent="0.2">
      <c r="B23" s="266"/>
      <c r="C23" s="371"/>
      <c r="D23" s="366"/>
      <c r="E23" s="366"/>
      <c r="F23" s="366"/>
      <c r="G23" s="366"/>
      <c r="H23" s="366"/>
      <c r="I23" s="366"/>
      <c r="J23" s="366"/>
      <c r="K23" s="366"/>
      <c r="L23" s="366"/>
      <c r="M23" s="366"/>
      <c r="N23" s="366"/>
    </row>
    <row r="24" spans="2:14" s="114" customFormat="1" hidden="1" x14ac:dyDescent="0.2">
      <c r="B24" s="266"/>
      <c r="C24" s="371"/>
      <c r="D24" s="366"/>
      <c r="E24" s="366"/>
      <c r="F24" s="366"/>
      <c r="G24" s="366"/>
      <c r="H24" s="366"/>
      <c r="I24" s="366"/>
      <c r="J24" s="366"/>
      <c r="K24" s="366"/>
      <c r="L24" s="366"/>
      <c r="M24" s="366"/>
      <c r="N24" s="366"/>
    </row>
    <row r="25" spans="2:14" s="114" customFormat="1" hidden="1" x14ac:dyDescent="0.2">
      <c r="B25" s="266"/>
      <c r="C25" s="371"/>
      <c r="D25" s="367"/>
      <c r="E25" s="367"/>
      <c r="F25" s="367"/>
      <c r="G25" s="367"/>
      <c r="H25" s="367"/>
      <c r="I25" s="367"/>
      <c r="J25" s="367"/>
      <c r="K25" s="367"/>
      <c r="L25" s="367"/>
      <c r="M25" s="367"/>
      <c r="N25" s="367"/>
    </row>
    <row r="26" spans="2:14" s="114" customFormat="1" hidden="1" x14ac:dyDescent="0.2">
      <c r="B26" s="266"/>
      <c r="C26" s="371"/>
      <c r="D26" s="367"/>
      <c r="E26" s="367"/>
      <c r="F26" s="367"/>
      <c r="G26" s="367"/>
      <c r="H26" s="367"/>
      <c r="I26" s="367"/>
      <c r="J26" s="367"/>
      <c r="K26" s="367"/>
      <c r="L26" s="367"/>
      <c r="M26" s="367"/>
      <c r="N26" s="367"/>
    </row>
    <row r="27" spans="2:14" s="114" customFormat="1" hidden="1" x14ac:dyDescent="0.2">
      <c r="B27" s="266"/>
      <c r="C27" s="371"/>
      <c r="D27" s="265"/>
      <c r="E27" s="265"/>
      <c r="F27" s="265"/>
      <c r="G27" s="350"/>
      <c r="H27" s="265"/>
      <c r="I27" s="265"/>
      <c r="J27" s="265"/>
      <c r="K27" s="265"/>
      <c r="L27" s="265"/>
      <c r="M27" s="265"/>
      <c r="N27" s="351"/>
    </row>
    <row r="28" spans="2:14" s="114" customFormat="1" ht="13.5" hidden="1" thickBot="1" x14ac:dyDescent="0.25">
      <c r="B28" s="267"/>
      <c r="C28" s="372"/>
      <c r="D28" s="353"/>
      <c r="E28" s="353"/>
      <c r="F28" s="353"/>
      <c r="G28" s="365"/>
      <c r="H28" s="353"/>
      <c r="I28" s="353"/>
      <c r="J28" s="353"/>
      <c r="K28" s="353"/>
      <c r="L28" s="353"/>
      <c r="M28" s="353"/>
      <c r="N28" s="352"/>
    </row>
    <row r="29" spans="2:14" s="114" customFormat="1" x14ac:dyDescent="0.2">
      <c r="D29" s="356"/>
      <c r="E29" s="356"/>
      <c r="F29" s="356"/>
      <c r="G29" s="363"/>
      <c r="H29" s="356"/>
      <c r="I29" s="356"/>
      <c r="J29" s="356"/>
      <c r="K29" s="356"/>
      <c r="L29" s="356"/>
      <c r="M29" s="356"/>
      <c r="N29" s="356"/>
    </row>
    <row r="30" spans="2:14" s="114" customFormat="1" x14ac:dyDescent="0.2">
      <c r="D30" s="356"/>
      <c r="E30" s="356"/>
      <c r="F30" s="356"/>
      <c r="G30" s="363"/>
      <c r="H30" s="356"/>
      <c r="I30" s="356"/>
      <c r="J30" s="356"/>
      <c r="K30" s="356"/>
      <c r="L30" s="356"/>
      <c r="M30" s="356"/>
      <c r="N30" s="356"/>
    </row>
    <row r="31" spans="2:14" s="114" customFormat="1" ht="13.5" thickBot="1" x14ac:dyDescent="0.25">
      <c r="D31" s="356"/>
      <c r="E31" s="356"/>
      <c r="F31" s="356"/>
      <c r="G31" s="363"/>
      <c r="H31" s="356"/>
      <c r="I31" s="356"/>
      <c r="J31" s="356"/>
      <c r="K31" s="356"/>
      <c r="L31" s="356"/>
      <c r="M31" s="356"/>
      <c r="N31" s="356"/>
    </row>
    <row r="32" spans="2:14" s="114" customFormat="1" ht="35.25" customHeight="1" thickBot="1" x14ac:dyDescent="0.25">
      <c r="B32" s="475" t="s">
        <v>350</v>
      </c>
      <c r="C32" s="476"/>
      <c r="D32" s="476"/>
      <c r="E32" s="476"/>
      <c r="F32" s="476"/>
      <c r="G32" s="476"/>
      <c r="H32" s="476"/>
      <c r="I32" s="476"/>
      <c r="J32" s="476"/>
      <c r="K32" s="476"/>
      <c r="L32" s="476"/>
      <c r="M32" s="476"/>
      <c r="N32" s="477"/>
    </row>
    <row r="33" spans="2:15" s="114" customFormat="1" ht="25.5" x14ac:dyDescent="0.2">
      <c r="B33" s="19"/>
      <c r="C33" s="19" t="s">
        <v>219</v>
      </c>
      <c r="D33" s="357" t="s">
        <v>220</v>
      </c>
      <c r="E33" s="357" t="s">
        <v>221</v>
      </c>
      <c r="F33" s="357" t="s">
        <v>222</v>
      </c>
      <c r="G33" s="364" t="s">
        <v>223</v>
      </c>
      <c r="H33" s="357" t="s">
        <v>224</v>
      </c>
      <c r="I33" s="357" t="s">
        <v>218</v>
      </c>
      <c r="J33" s="357" t="s">
        <v>225</v>
      </c>
      <c r="K33" s="357" t="s">
        <v>211</v>
      </c>
      <c r="L33" s="357" t="s">
        <v>212</v>
      </c>
      <c r="M33" s="357" t="s">
        <v>213</v>
      </c>
      <c r="N33" s="357" t="s">
        <v>226</v>
      </c>
    </row>
    <row r="34" spans="2:15" s="114" customFormat="1" x14ac:dyDescent="0.2">
      <c r="B34" s="548"/>
      <c r="C34" s="371">
        <v>2016</v>
      </c>
      <c r="D34" s="546">
        <v>150000000</v>
      </c>
      <c r="E34" s="546">
        <v>50000000</v>
      </c>
      <c r="F34" s="546">
        <v>3074776153</v>
      </c>
      <c r="G34" s="546">
        <v>1.9300000000000001E-2</v>
      </c>
      <c r="H34" s="546">
        <v>48597670</v>
      </c>
      <c r="I34" s="546">
        <v>59589162</v>
      </c>
      <c r="J34" s="546">
        <v>63572957</v>
      </c>
      <c r="K34" s="546">
        <v>160028154</v>
      </c>
      <c r="L34" s="546">
        <v>76755</v>
      </c>
      <c r="M34" s="546">
        <f t="shared" ref="M34:M36" si="2">SUM(K34:L34)</f>
        <v>160104909</v>
      </c>
      <c r="N34" s="546">
        <f t="shared" ref="N34:N36" si="3">SUM(I34+J34-M34)</f>
        <v>-36942790</v>
      </c>
    </row>
    <row r="35" spans="2:15" s="114" customFormat="1" x14ac:dyDescent="0.2">
      <c r="B35" s="266"/>
      <c r="C35" s="371">
        <v>2017</v>
      </c>
      <c r="D35" s="546">
        <v>150000000</v>
      </c>
      <c r="E35" s="546">
        <v>50000000</v>
      </c>
      <c r="F35" s="546">
        <v>3074776153</v>
      </c>
      <c r="G35" s="546">
        <v>1.9300000000000001E-2</v>
      </c>
      <c r="H35" s="546">
        <v>48597670</v>
      </c>
      <c r="I35" s="546">
        <v>59589162</v>
      </c>
      <c r="J35" s="546">
        <v>63572957</v>
      </c>
      <c r="K35" s="546">
        <v>160028154</v>
      </c>
      <c r="L35" s="546">
        <v>985653</v>
      </c>
      <c r="M35" s="546">
        <f t="shared" si="2"/>
        <v>161013807</v>
      </c>
      <c r="N35" s="546">
        <f t="shared" si="3"/>
        <v>-37851688</v>
      </c>
    </row>
    <row r="36" spans="2:15" s="114" customFormat="1" x14ac:dyDescent="0.2">
      <c r="B36" s="266"/>
      <c r="C36" s="371">
        <v>2018</v>
      </c>
      <c r="D36" s="546">
        <v>150000000</v>
      </c>
      <c r="E36" s="546">
        <v>50000000</v>
      </c>
      <c r="F36" s="546">
        <v>3074776153</v>
      </c>
      <c r="G36" s="546">
        <v>1.9300000000000001E-2</v>
      </c>
      <c r="H36" s="546">
        <v>48597670</v>
      </c>
      <c r="I36" s="546">
        <v>59589162</v>
      </c>
      <c r="J36" s="546">
        <v>63572957</v>
      </c>
      <c r="K36" s="546">
        <v>160028154</v>
      </c>
      <c r="L36" s="546">
        <v>235325</v>
      </c>
      <c r="M36" s="546">
        <f t="shared" si="2"/>
        <v>160263479</v>
      </c>
      <c r="N36" s="546">
        <f t="shared" si="3"/>
        <v>-37101360</v>
      </c>
    </row>
    <row r="37" spans="2:15" s="114" customFormat="1" x14ac:dyDescent="0.2">
      <c r="B37" s="266"/>
      <c r="C37" s="371">
        <v>2019</v>
      </c>
      <c r="D37" s="546">
        <v>150000000</v>
      </c>
      <c r="E37" s="546">
        <v>50000000</v>
      </c>
      <c r="F37" s="546">
        <v>3074776153</v>
      </c>
      <c r="G37" s="546">
        <v>1.9300000000000001E-2</v>
      </c>
      <c r="H37" s="546">
        <v>48597670</v>
      </c>
      <c r="I37" s="546">
        <v>59589162</v>
      </c>
      <c r="J37" s="546">
        <v>63572957</v>
      </c>
      <c r="K37" s="546">
        <v>160028154</v>
      </c>
      <c r="L37" s="546">
        <v>235325</v>
      </c>
      <c r="M37" s="546">
        <f t="shared" ref="M37:M43" si="4">SUM(K37:L37)</f>
        <v>160263479</v>
      </c>
      <c r="N37" s="546">
        <f t="shared" ref="N37:N43" si="5">SUM(I37+J37-M37)</f>
        <v>-37101360</v>
      </c>
    </row>
    <row r="38" spans="2:15" s="114" customFormat="1" ht="14.45" customHeight="1" x14ac:dyDescent="0.2">
      <c r="B38" s="266"/>
      <c r="C38" s="371">
        <v>2020</v>
      </c>
      <c r="D38" s="546">
        <v>150000000</v>
      </c>
      <c r="E38" s="546">
        <v>50000000</v>
      </c>
      <c r="F38" s="546">
        <v>3232654000</v>
      </c>
      <c r="G38" s="546">
        <v>1.7749999999999998E-2</v>
      </c>
      <c r="H38" s="546">
        <v>51986407</v>
      </c>
      <c r="I38" s="546">
        <v>57379609</v>
      </c>
      <c r="J38" s="546">
        <v>75747828.159696802</v>
      </c>
      <c r="K38" s="546">
        <v>198655551.15687901</v>
      </c>
      <c r="L38" s="546">
        <v>5000000</v>
      </c>
      <c r="M38" s="546">
        <f t="shared" si="4"/>
        <v>203655551.15687901</v>
      </c>
      <c r="N38" s="546">
        <f t="shared" si="5"/>
        <v>-70528113.997182205</v>
      </c>
    </row>
    <row r="39" spans="2:15" x14ac:dyDescent="0.2">
      <c r="B39" s="266"/>
      <c r="C39" s="371">
        <v>2021</v>
      </c>
      <c r="D39" s="546">
        <v>150000000</v>
      </c>
      <c r="E39" s="546">
        <v>50000000</v>
      </c>
      <c r="F39" s="546">
        <v>3141420296</v>
      </c>
      <c r="G39" s="546">
        <v>1.8749999999999999E-2</v>
      </c>
      <c r="H39" s="546">
        <v>53011468</v>
      </c>
      <c r="I39" s="546">
        <v>58004102</v>
      </c>
      <c r="J39" s="546">
        <v>32542107.390000001</v>
      </c>
      <c r="K39" s="546">
        <v>84154671.111345008</v>
      </c>
      <c r="L39" s="546">
        <v>5000000</v>
      </c>
      <c r="M39" s="546">
        <f t="shared" si="4"/>
        <v>89154671.111345008</v>
      </c>
      <c r="N39" s="546">
        <f t="shared" si="5"/>
        <v>1391538.2786549926</v>
      </c>
      <c r="O39" s="114"/>
    </row>
    <row r="40" spans="2:15" x14ac:dyDescent="0.2">
      <c r="B40" s="266"/>
      <c r="C40" s="371">
        <v>2022</v>
      </c>
      <c r="D40" s="546">
        <v>150000000</v>
      </c>
      <c r="E40" s="546">
        <v>50000000</v>
      </c>
      <c r="F40" s="546">
        <v>3854716975</v>
      </c>
      <c r="G40" s="546">
        <v>2.1100000000000001E-2</v>
      </c>
      <c r="H40" s="546">
        <v>64989000</v>
      </c>
      <c r="I40" s="546">
        <v>81145647</v>
      </c>
      <c r="J40" s="546">
        <v>32542107.390000001</v>
      </c>
      <c r="K40" s="546">
        <v>32542107.390000001</v>
      </c>
      <c r="L40" s="546">
        <v>32542107.390000001</v>
      </c>
      <c r="M40" s="546">
        <f t="shared" si="4"/>
        <v>65084214.780000001</v>
      </c>
      <c r="N40" s="546">
        <f t="shared" si="5"/>
        <v>48603539.609999999</v>
      </c>
      <c r="O40" s="114"/>
    </row>
    <row r="41" spans="2:15" x14ac:dyDescent="0.2">
      <c r="B41" s="266"/>
      <c r="C41" s="371">
        <v>2023</v>
      </c>
      <c r="D41" s="546">
        <v>125000000</v>
      </c>
      <c r="E41" s="546">
        <v>75000000</v>
      </c>
      <c r="F41" s="546">
        <v>4367768245</v>
      </c>
      <c r="G41" s="546">
        <v>1.66E-2</v>
      </c>
      <c r="H41" s="546">
        <v>61625000</v>
      </c>
      <c r="I41" s="546">
        <v>64900232</v>
      </c>
      <c r="J41" s="546">
        <v>52419389.219999999</v>
      </c>
      <c r="K41" s="546">
        <v>100961482.40000001</v>
      </c>
      <c r="L41" s="546">
        <v>95000000</v>
      </c>
      <c r="M41" s="546">
        <f t="shared" si="4"/>
        <v>195961482.40000001</v>
      </c>
      <c r="N41" s="546">
        <f t="shared" si="5"/>
        <v>-78641861.180000007</v>
      </c>
      <c r="O41" s="114"/>
    </row>
    <row r="42" spans="2:15" x14ac:dyDescent="0.2">
      <c r="B42" s="266"/>
      <c r="C42" s="371">
        <v>2024</v>
      </c>
      <c r="D42" s="546">
        <v>125000000</v>
      </c>
      <c r="E42" s="546">
        <v>75000000</v>
      </c>
      <c r="F42" s="546">
        <v>3951044505</v>
      </c>
      <c r="G42" s="546">
        <v>1.8350000000000002E-2</v>
      </c>
      <c r="H42" s="546">
        <v>61625000</v>
      </c>
      <c r="I42" s="546">
        <v>61661040</v>
      </c>
      <c r="J42" s="546">
        <v>84876588.450334907</v>
      </c>
      <c r="K42" s="546">
        <v>172062838.23837501</v>
      </c>
      <c r="L42" s="546">
        <v>10000000</v>
      </c>
      <c r="M42" s="546">
        <f t="shared" si="4"/>
        <v>182062838.23837501</v>
      </c>
      <c r="N42" s="546">
        <f t="shared" si="5"/>
        <v>-35525209.788040102</v>
      </c>
      <c r="O42" s="114"/>
    </row>
    <row r="43" spans="2:15" x14ac:dyDescent="0.2">
      <c r="B43" s="266"/>
      <c r="C43" s="371">
        <v>2025</v>
      </c>
      <c r="D43" s="546">
        <v>125000000</v>
      </c>
      <c r="E43" s="546">
        <v>75000000</v>
      </c>
      <c r="F43" s="546">
        <v>4537360977</v>
      </c>
      <c r="G43" s="546">
        <v>1.7576000000000001E-2</v>
      </c>
      <c r="H43" s="546">
        <v>67787500</v>
      </c>
      <c r="I43" s="546">
        <v>92263893.659567967</v>
      </c>
      <c r="J43" s="546">
        <v>52327004.290237397</v>
      </c>
      <c r="K43" s="546">
        <v>70893122.627895996</v>
      </c>
      <c r="L43" s="546">
        <v>5000000</v>
      </c>
      <c r="M43" s="546">
        <f t="shared" si="4"/>
        <v>75893122.627895996</v>
      </c>
      <c r="N43" s="546">
        <f t="shared" si="5"/>
        <v>68697775.321909383</v>
      </c>
      <c r="O43" s="114"/>
    </row>
    <row r="44" spans="2:15" x14ac:dyDescent="0.2">
      <c r="B44" s="266"/>
      <c r="C44" s="371"/>
      <c r="D44" s="367"/>
      <c r="E44" s="367"/>
      <c r="F44" s="367"/>
      <c r="G44" s="366"/>
      <c r="H44" s="367"/>
      <c r="I44" s="367"/>
      <c r="J44" s="367"/>
      <c r="K44" s="367"/>
      <c r="L44" s="367"/>
      <c r="M44" s="367"/>
      <c r="N44" s="367"/>
      <c r="O44" s="114"/>
    </row>
    <row r="45" spans="2:15" x14ac:dyDescent="0.2">
      <c r="B45" s="266"/>
      <c r="C45" s="371"/>
      <c r="D45" s="367"/>
      <c r="E45" s="367"/>
      <c r="F45" s="367"/>
      <c r="G45" s="350"/>
      <c r="H45" s="366">
        <f t="shared" ref="H45:N45" si="6">SUM(H34:H44)</f>
        <v>555415055</v>
      </c>
      <c r="I45" s="366">
        <f t="shared" si="6"/>
        <v>653711171.65956795</v>
      </c>
      <c r="J45" s="366">
        <f t="shared" si="6"/>
        <v>584746852.90026915</v>
      </c>
      <c r="K45" s="366">
        <f t="shared" si="6"/>
        <v>1299382388.924495</v>
      </c>
      <c r="L45" s="366">
        <f t="shared" si="6"/>
        <v>154075165.38999999</v>
      </c>
      <c r="M45" s="366">
        <f t="shared" si="6"/>
        <v>1453457554.3144951</v>
      </c>
      <c r="N45" s="366">
        <f t="shared" si="6"/>
        <v>-214999529.75465792</v>
      </c>
      <c r="O45" s="114"/>
    </row>
    <row r="46" spans="2:15" ht="13.5" thickBot="1" x14ac:dyDescent="0.25">
      <c r="B46" s="267" t="s">
        <v>216</v>
      </c>
      <c r="C46" s="372"/>
      <c r="D46" s="353"/>
      <c r="E46" s="353"/>
      <c r="F46" s="353"/>
      <c r="G46" s="365"/>
      <c r="H46" s="353"/>
      <c r="I46" s="353"/>
      <c r="J46" s="353"/>
      <c r="K46" s="353"/>
      <c r="L46" s="353"/>
      <c r="M46" s="353"/>
      <c r="N46" s="352"/>
    </row>
    <row r="49" spans="2:15" ht="13.5" thickBot="1" x14ac:dyDescent="0.25"/>
    <row r="50" spans="2:15" ht="30.75" customHeight="1" thickBot="1" x14ac:dyDescent="0.25">
      <c r="B50" s="475" t="s">
        <v>351</v>
      </c>
      <c r="C50" s="476"/>
      <c r="D50" s="476"/>
      <c r="E50" s="476"/>
      <c r="F50" s="476"/>
      <c r="G50" s="476"/>
      <c r="H50" s="476"/>
      <c r="I50" s="476"/>
      <c r="J50" s="476"/>
      <c r="K50" s="476"/>
      <c r="L50" s="476"/>
      <c r="M50" s="476"/>
      <c r="N50" s="477"/>
    </row>
    <row r="51" spans="2:15" ht="25.5" x14ac:dyDescent="0.2">
      <c r="B51" s="19"/>
      <c r="C51" s="19" t="s">
        <v>219</v>
      </c>
      <c r="D51" s="357" t="s">
        <v>220</v>
      </c>
      <c r="E51" s="357" t="s">
        <v>221</v>
      </c>
      <c r="F51" s="357" t="s">
        <v>222</v>
      </c>
      <c r="G51" s="364" t="s">
        <v>223</v>
      </c>
      <c r="H51" s="357" t="s">
        <v>224</v>
      </c>
      <c r="I51" s="357" t="s">
        <v>218</v>
      </c>
      <c r="J51" s="357" t="s">
        <v>225</v>
      </c>
      <c r="K51" s="357" t="s">
        <v>211</v>
      </c>
      <c r="L51" s="357" t="s">
        <v>212</v>
      </c>
      <c r="M51" s="357" t="s">
        <v>213</v>
      </c>
      <c r="N51" s="357" t="s">
        <v>226</v>
      </c>
    </row>
    <row r="52" spans="2:15" x14ac:dyDescent="0.2">
      <c r="B52" s="548"/>
      <c r="C52" s="371">
        <v>2016</v>
      </c>
      <c r="D52" s="546">
        <v>300000000</v>
      </c>
      <c r="E52" s="546">
        <v>200000000</v>
      </c>
      <c r="F52" s="546">
        <v>3074776150</v>
      </c>
      <c r="G52" s="547">
        <v>5.1000000000000004E-3</v>
      </c>
      <c r="H52" s="546">
        <v>12788857</v>
      </c>
      <c r="I52" s="546">
        <v>15681358</v>
      </c>
      <c r="J52" s="546">
        <v>1231123</v>
      </c>
      <c r="K52" s="546">
        <v>565665</v>
      </c>
      <c r="L52" s="546">
        <v>8977766</v>
      </c>
      <c r="M52" s="546">
        <f t="shared" ref="M52:M54" si="7">SUM(K52:L52)</f>
        <v>9543431</v>
      </c>
      <c r="N52" s="546">
        <f t="shared" ref="N52:N54" si="8">SUM(I52+J52-M52)</f>
        <v>7369050</v>
      </c>
    </row>
    <row r="53" spans="2:15" x14ac:dyDescent="0.2">
      <c r="B53" s="266"/>
      <c r="C53" s="371">
        <v>2017</v>
      </c>
      <c r="D53" s="546">
        <v>350000000</v>
      </c>
      <c r="E53" s="546">
        <v>280000000</v>
      </c>
      <c r="F53" s="546">
        <v>3074776151</v>
      </c>
      <c r="G53" s="547">
        <v>5.1000000000000004E-3</v>
      </c>
      <c r="H53" s="546">
        <v>12788858</v>
      </c>
      <c r="I53" s="546">
        <v>15681358</v>
      </c>
      <c r="J53" s="546">
        <v>342333</v>
      </c>
      <c r="K53" s="546">
        <v>98989</v>
      </c>
      <c r="L53" s="546">
        <v>453434</v>
      </c>
      <c r="M53" s="546">
        <f t="shared" si="7"/>
        <v>552423</v>
      </c>
      <c r="N53" s="546">
        <f t="shared" si="8"/>
        <v>15471268</v>
      </c>
    </row>
    <row r="54" spans="2:15" x14ac:dyDescent="0.2">
      <c r="B54" s="266"/>
      <c r="C54" s="371">
        <v>2018</v>
      </c>
      <c r="D54" s="546">
        <v>400000000</v>
      </c>
      <c r="E54" s="546">
        <v>300000000</v>
      </c>
      <c r="F54" s="546">
        <v>3074776152</v>
      </c>
      <c r="G54" s="547">
        <v>5.1000000000000004E-3</v>
      </c>
      <c r="H54" s="546">
        <v>12788859</v>
      </c>
      <c r="I54" s="546">
        <v>15681358</v>
      </c>
      <c r="J54" s="546">
        <v>231344</v>
      </c>
      <c r="K54" s="546">
        <v>8987787</v>
      </c>
      <c r="L54" s="546">
        <v>7657655</v>
      </c>
      <c r="M54" s="546">
        <f t="shared" si="7"/>
        <v>16645442</v>
      </c>
      <c r="N54" s="546">
        <f t="shared" si="8"/>
        <v>-732740</v>
      </c>
    </row>
    <row r="55" spans="2:15" x14ac:dyDescent="0.2">
      <c r="B55" s="266"/>
      <c r="C55" s="371">
        <v>2019</v>
      </c>
      <c r="D55" s="546">
        <v>450000000</v>
      </c>
      <c r="E55" s="546">
        <v>360000000</v>
      </c>
      <c r="F55" s="546">
        <v>3074776153</v>
      </c>
      <c r="G55" s="547">
        <v>5.1000000000000004E-3</v>
      </c>
      <c r="H55" s="546">
        <v>12788860</v>
      </c>
      <c r="I55" s="546">
        <v>15681358</v>
      </c>
      <c r="J55" s="546">
        <v>4536666</v>
      </c>
      <c r="K55" s="546">
        <v>7676544</v>
      </c>
      <c r="L55" s="546">
        <v>6565445</v>
      </c>
      <c r="M55" s="546">
        <f t="shared" ref="M55:M61" si="9">SUM(K55:L55)</f>
        <v>14241989</v>
      </c>
      <c r="N55" s="546">
        <f t="shared" ref="N55:N61" si="10">SUM(I55+J55-M55)</f>
        <v>5976035</v>
      </c>
    </row>
    <row r="56" spans="2:15" x14ac:dyDescent="0.2">
      <c r="B56" s="266"/>
      <c r="C56" s="371">
        <v>2020</v>
      </c>
      <c r="D56" s="546">
        <v>500000000</v>
      </c>
      <c r="E56" s="546">
        <v>410000000</v>
      </c>
      <c r="F56" s="546">
        <v>3232654000</v>
      </c>
      <c r="G56" s="547">
        <v>5.3E-3</v>
      </c>
      <c r="H56" s="546">
        <v>15376261</v>
      </c>
      <c r="I56" s="546">
        <v>16971434</v>
      </c>
      <c r="J56" s="546">
        <v>787898</v>
      </c>
      <c r="K56" s="546">
        <v>656432</v>
      </c>
      <c r="L56" s="546">
        <v>9076</v>
      </c>
      <c r="M56" s="546">
        <f t="shared" si="9"/>
        <v>665508</v>
      </c>
      <c r="N56" s="546">
        <f t="shared" si="10"/>
        <v>17093824</v>
      </c>
    </row>
    <row r="57" spans="2:15" x14ac:dyDescent="0.2">
      <c r="B57" s="266"/>
      <c r="C57" s="371">
        <v>2021</v>
      </c>
      <c r="D57" s="546">
        <v>550000000</v>
      </c>
      <c r="E57" s="546">
        <v>460000000</v>
      </c>
      <c r="F57" s="546">
        <v>3141420296</v>
      </c>
      <c r="G57" s="547">
        <v>5.3E-3</v>
      </c>
      <c r="H57" s="546">
        <v>14843211</v>
      </c>
      <c r="I57" s="546">
        <v>16241149</v>
      </c>
      <c r="J57" s="546">
        <v>67675</v>
      </c>
      <c r="K57" s="546">
        <v>988766</v>
      </c>
      <c r="L57" s="546">
        <v>76767</v>
      </c>
      <c r="M57" s="546">
        <f t="shared" si="9"/>
        <v>1065533</v>
      </c>
      <c r="N57" s="546">
        <f t="shared" si="10"/>
        <v>15243291</v>
      </c>
    </row>
    <row r="58" spans="2:15" x14ac:dyDescent="0.2">
      <c r="B58" s="266"/>
      <c r="C58" s="371">
        <v>2022</v>
      </c>
      <c r="D58" s="546">
        <v>600000000</v>
      </c>
      <c r="E58" s="546">
        <v>510000000</v>
      </c>
      <c r="F58" s="546">
        <v>3854716975</v>
      </c>
      <c r="G58" s="547">
        <v>5.1999999999999998E-3</v>
      </c>
      <c r="H58" s="546">
        <v>16146000</v>
      </c>
      <c r="I58" s="546">
        <v>20160170</v>
      </c>
      <c r="J58" s="546">
        <v>9898</v>
      </c>
      <c r="K58" s="546">
        <v>564322</v>
      </c>
      <c r="L58" s="546">
        <v>144458</v>
      </c>
      <c r="M58" s="546">
        <f t="shared" si="9"/>
        <v>708780</v>
      </c>
      <c r="N58" s="546">
        <f t="shared" si="10"/>
        <v>19461288</v>
      </c>
    </row>
    <row r="59" spans="2:15" x14ac:dyDescent="0.2">
      <c r="B59" s="266"/>
      <c r="C59" s="371">
        <v>2023</v>
      </c>
      <c r="D59" s="546">
        <v>650000000</v>
      </c>
      <c r="E59" s="546">
        <v>560000000</v>
      </c>
      <c r="F59" s="546">
        <v>4367768245</v>
      </c>
      <c r="G59" s="547">
        <v>5.4000000000000003E-3</v>
      </c>
      <c r="H59" s="546">
        <v>20096179</v>
      </c>
      <c r="I59" s="546">
        <v>21151219</v>
      </c>
      <c r="J59" s="546">
        <v>56443</v>
      </c>
      <c r="K59" s="546">
        <v>6565443</v>
      </c>
      <c r="L59" s="546">
        <v>212149</v>
      </c>
      <c r="M59" s="546">
        <f t="shared" si="9"/>
        <v>6777592</v>
      </c>
      <c r="N59" s="546">
        <f t="shared" si="10"/>
        <v>14430070</v>
      </c>
    </row>
    <row r="60" spans="2:15" x14ac:dyDescent="0.2">
      <c r="B60" s="266"/>
      <c r="C60" s="371">
        <v>2024</v>
      </c>
      <c r="D60" s="546">
        <v>700000000</v>
      </c>
      <c r="E60" s="546">
        <v>610000000</v>
      </c>
      <c r="F60" s="546">
        <v>3951044505</v>
      </c>
      <c r="G60" s="547">
        <v>5.4000000000000003E-3</v>
      </c>
      <c r="H60" s="546">
        <v>20096180</v>
      </c>
      <c r="I60" s="546">
        <v>20096180</v>
      </c>
      <c r="J60" s="546">
        <v>1206416.8</v>
      </c>
      <c r="K60" s="546">
        <v>18009643.600000001</v>
      </c>
      <c r="L60" s="546">
        <v>279840</v>
      </c>
      <c r="M60" s="546">
        <f t="shared" si="9"/>
        <v>18289483.600000001</v>
      </c>
      <c r="N60" s="546">
        <f t="shared" si="10"/>
        <v>3013113.1999999993</v>
      </c>
    </row>
    <row r="61" spans="2:15" x14ac:dyDescent="0.2">
      <c r="B61" s="266"/>
      <c r="C61" s="371">
        <v>2025</v>
      </c>
      <c r="D61" s="546">
        <v>750000000</v>
      </c>
      <c r="E61" s="546">
        <v>660000000</v>
      </c>
      <c r="F61" s="546">
        <v>4537360977</v>
      </c>
      <c r="G61" s="547">
        <v>1.1900000000000001E-2</v>
      </c>
      <c r="H61" s="546">
        <v>22103400</v>
      </c>
      <c r="I61" s="546">
        <v>30084454.629999999</v>
      </c>
      <c r="J61" s="546">
        <v>2356390.6</v>
      </c>
      <c r="K61" s="546">
        <v>25825124.466666698</v>
      </c>
      <c r="L61" s="546">
        <v>347531</v>
      </c>
      <c r="M61" s="546">
        <f t="shared" si="9"/>
        <v>26172655.466666698</v>
      </c>
      <c r="N61" s="546">
        <f t="shared" si="10"/>
        <v>6268189.763333302</v>
      </c>
    </row>
    <row r="62" spans="2:15" ht="13.5" thickBot="1" x14ac:dyDescent="0.25">
      <c r="B62" s="267" t="s">
        <v>216</v>
      </c>
      <c r="C62" s="372"/>
      <c r="D62" s="353"/>
      <c r="E62" s="353"/>
      <c r="F62" s="353"/>
      <c r="G62" s="365"/>
      <c r="H62" s="353">
        <f t="shared" ref="H62:N62" si="11">SUM(H52:H61)</f>
        <v>159816665</v>
      </c>
      <c r="I62" s="353">
        <f t="shared" si="11"/>
        <v>187430038.63</v>
      </c>
      <c r="J62" s="353">
        <f t="shared" si="11"/>
        <v>10826187.4</v>
      </c>
      <c r="K62" s="353">
        <f t="shared" si="11"/>
        <v>69938716.066666692</v>
      </c>
      <c r="L62" s="353">
        <f t="shared" si="11"/>
        <v>24724121</v>
      </c>
      <c r="M62" s="353">
        <f t="shared" si="11"/>
        <v>94662837.066666692</v>
      </c>
      <c r="N62" s="352">
        <f t="shared" si="11"/>
        <v>103593388.96333331</v>
      </c>
    </row>
    <row r="63" spans="2:15" x14ac:dyDescent="0.2">
      <c r="O63" s="373"/>
    </row>
    <row r="66" spans="2:14" x14ac:dyDescent="0.2">
      <c r="B66" s="266"/>
      <c r="C66" s="371"/>
      <c r="D66" s="265"/>
      <c r="E66" s="265"/>
      <c r="F66" s="265"/>
      <c r="G66" s="350"/>
      <c r="H66" s="265"/>
      <c r="I66" s="265"/>
      <c r="J66" s="265"/>
      <c r="K66" s="265"/>
      <c r="L66" s="265"/>
      <c r="M66" s="265">
        <f t="shared" ref="M66" si="12">SUM(K66:L66)</f>
        <v>0</v>
      </c>
      <c r="N66" s="351">
        <f>SUM(I66+J66-M66)</f>
        <v>0</v>
      </c>
    </row>
    <row r="67" spans="2:14" ht="13.5" thickBot="1" x14ac:dyDescent="0.25">
      <c r="B67" s="267" t="s">
        <v>216</v>
      </c>
      <c r="C67" s="372"/>
      <c r="D67" s="353"/>
      <c r="E67" s="353"/>
      <c r="F67" s="353"/>
      <c r="G67" s="365"/>
      <c r="H67" s="353"/>
      <c r="I67" s="353">
        <f t="shared" ref="I67:N67" si="13">SUM(I66:I66)</f>
        <v>0</v>
      </c>
      <c r="J67" s="353">
        <f t="shared" si="13"/>
        <v>0</v>
      </c>
      <c r="K67" s="353">
        <f t="shared" si="13"/>
        <v>0</v>
      </c>
      <c r="L67" s="353">
        <f t="shared" si="13"/>
        <v>0</v>
      </c>
      <c r="M67" s="353">
        <f t="shared" si="13"/>
        <v>0</v>
      </c>
      <c r="N67" s="352">
        <f t="shared" si="13"/>
        <v>0</v>
      </c>
    </row>
    <row r="69" spans="2:14" x14ac:dyDescent="0.2">
      <c r="B69" s="182" t="s">
        <v>14</v>
      </c>
      <c r="C69" s="182"/>
      <c r="D69" s="356"/>
      <c r="E69" s="356"/>
      <c r="F69" s="356"/>
    </row>
    <row r="70" spans="2:14" x14ac:dyDescent="0.2">
      <c r="B70" s="466"/>
      <c r="C70" s="466"/>
      <c r="D70" s="466"/>
      <c r="E70" s="466"/>
      <c r="F70" s="466"/>
    </row>
    <row r="71" spans="2:14" x14ac:dyDescent="0.2">
      <c r="B71" s="466"/>
      <c r="C71" s="466"/>
      <c r="D71" s="466"/>
      <c r="E71" s="466"/>
      <c r="F71" s="466"/>
    </row>
    <row r="72" spans="2:14" x14ac:dyDescent="0.2">
      <c r="B72" s="466"/>
      <c r="C72" s="466"/>
      <c r="D72" s="466"/>
      <c r="E72" s="466"/>
      <c r="F72" s="466"/>
    </row>
  </sheetData>
  <mergeCells count="11">
    <mergeCell ref="B70:F72"/>
    <mergeCell ref="E10:F10"/>
    <mergeCell ref="B13:N13"/>
    <mergeCell ref="B32:N32"/>
    <mergeCell ref="B50:N50"/>
    <mergeCell ref="E9:F9"/>
    <mergeCell ref="B2:O2"/>
    <mergeCell ref="E5:F5"/>
    <mergeCell ref="E6:F6"/>
    <mergeCell ref="E7:F7"/>
    <mergeCell ref="E8:F8"/>
  </mergeCells>
  <dataValidations disablePrompts="1" count="1">
    <dataValidation type="list" allowBlank="1" showInputMessage="1" showErrorMessage="1" sqref="E10:F10" xr:uid="{4FC0CB6F-CA27-4D9B-9BB5-18ABCFDF34C1}">
      <formula1>INDIRECT(E9)</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27"/>
  <sheetViews>
    <sheetView topLeftCell="A11" workbookViewId="0">
      <selection activeCell="D10" sqref="D10:E10"/>
    </sheetView>
  </sheetViews>
  <sheetFormatPr defaultColWidth="11.42578125" defaultRowHeight="12.75" x14ac:dyDescent="0.2"/>
  <cols>
    <col min="1" max="1" width="2.85546875" style="115" customWidth="1"/>
    <col min="2" max="2" width="21.85546875" style="115" customWidth="1"/>
    <col min="3"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37" t="s">
        <v>30</v>
      </c>
      <c r="C2" s="438"/>
      <c r="D2" s="438"/>
      <c r="E2" s="438"/>
      <c r="F2" s="438"/>
      <c r="G2" s="438"/>
      <c r="H2" s="438"/>
      <c r="I2" s="438"/>
      <c r="J2" s="438"/>
      <c r="K2" s="438"/>
      <c r="L2" s="438"/>
      <c r="M2" s="438"/>
      <c r="N2" s="43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51" t="str">
        <f>Header!$D$4</f>
        <v>ZARAI REINSURANCE CORPORATION</v>
      </c>
      <c r="E5" s="452"/>
      <c r="N5" s="113"/>
    </row>
    <row r="6" spans="2:17" s="114" customFormat="1" ht="14.45" customHeight="1" x14ac:dyDescent="0.2">
      <c r="C6" s="118" t="s">
        <v>3</v>
      </c>
      <c r="D6" s="451" t="str">
        <f>Header!$D$5</f>
        <v>Kenya</v>
      </c>
      <c r="E6" s="452"/>
      <c r="F6" s="114" t="s">
        <v>104</v>
      </c>
    </row>
    <row r="7" spans="2:17" s="114" customFormat="1" ht="14.45" customHeight="1" x14ac:dyDescent="0.2">
      <c r="C7" s="118" t="s">
        <v>4</v>
      </c>
      <c r="D7" s="451" t="str">
        <f>Header!$D$6</f>
        <v>KES</v>
      </c>
      <c r="E7" s="452"/>
    </row>
    <row r="8" spans="2:17" s="114" customFormat="1" ht="14.45" customHeight="1" x14ac:dyDescent="0.2">
      <c r="C8" s="118" t="s">
        <v>105</v>
      </c>
      <c r="D8" s="451">
        <f>YEAR(Header!$D$11)</f>
        <v>2026</v>
      </c>
      <c r="E8" s="452"/>
    </row>
    <row r="9" spans="2:17" s="114" customFormat="1" ht="14.45" customHeight="1" x14ac:dyDescent="0.2">
      <c r="C9" s="118" t="s">
        <v>11</v>
      </c>
      <c r="D9" s="451" t="str">
        <f>Header!$D$15</f>
        <v>Property</v>
      </c>
      <c r="E9" s="452"/>
    </row>
    <row r="10" spans="2:17" s="114" customFormat="1" ht="14.45" customHeight="1" x14ac:dyDescent="0.2">
      <c r="C10" s="118" t="s">
        <v>106</v>
      </c>
      <c r="D10" s="431" t="s">
        <v>184</v>
      </c>
      <c r="E10" s="433"/>
    </row>
    <row r="11" spans="2:17" s="114" customFormat="1" ht="14.45" customHeight="1" thickBot="1" x14ac:dyDescent="0.25"/>
    <row r="12" spans="2:17" s="114"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14" customFormat="1" x14ac:dyDescent="0.2">
      <c r="B13" s="24" t="s">
        <v>30</v>
      </c>
      <c r="C13" s="375">
        <v>1.2200000000000001E-2</v>
      </c>
      <c r="D13" s="374">
        <v>5.6000000000000001E-2</v>
      </c>
      <c r="E13" s="374">
        <v>-1.8700000000000001E-2</v>
      </c>
      <c r="F13" s="374">
        <v>1.78E-2</v>
      </c>
      <c r="G13" s="374">
        <v>-2.2100000000000002E-2</v>
      </c>
      <c r="H13" s="374">
        <v>3.0020000000000002E-2</v>
      </c>
      <c r="I13" s="374">
        <v>2.9669999999999998E-2</v>
      </c>
      <c r="J13" s="374">
        <v>2.7560000000000001E-2</v>
      </c>
      <c r="K13" s="22"/>
      <c r="L13" s="22"/>
      <c r="M13" s="22"/>
      <c r="N13" s="25"/>
    </row>
    <row r="14" spans="2:17" s="114" customFormat="1" ht="13.5" thickBot="1" x14ac:dyDescent="0.25">
      <c r="B14" s="26" t="s">
        <v>111</v>
      </c>
      <c r="C14" s="27">
        <f t="shared" ref="C14:L14" si="1">D14*(1+C13)</f>
        <v>113.77316764969056</v>
      </c>
      <c r="D14" s="28">
        <f t="shared" si="1"/>
        <v>112.40186489793575</v>
      </c>
      <c r="E14" s="28">
        <f t="shared" si="1"/>
        <v>106.44115994122703</v>
      </c>
      <c r="F14" s="28">
        <f t="shared" si="1"/>
        <v>108.46954034569147</v>
      </c>
      <c r="G14" s="28">
        <f t="shared" si="1"/>
        <v>106.57254897395507</v>
      </c>
      <c r="H14" s="28">
        <f t="shared" si="1"/>
        <v>108.98102973101039</v>
      </c>
      <c r="I14" s="28">
        <f t="shared" si="1"/>
        <v>105.80477052000001</v>
      </c>
      <c r="J14" s="28">
        <f t="shared" si="1"/>
        <v>102.756</v>
      </c>
      <c r="K14" s="28">
        <f t="shared" si="1"/>
        <v>100</v>
      </c>
      <c r="L14" s="28">
        <f t="shared" si="1"/>
        <v>100</v>
      </c>
      <c r="M14" s="28">
        <f>N14*(1+M13)</f>
        <v>100</v>
      </c>
      <c r="N14" s="29">
        <v>100</v>
      </c>
    </row>
    <row r="15" spans="2:17" s="114" customFormat="1" ht="13.5" thickBot="1" x14ac:dyDescent="0.25"/>
    <row r="16" spans="2:17" s="114" customFormat="1" ht="14.45" customHeight="1" x14ac:dyDescent="0.2">
      <c r="B16" s="3" t="s">
        <v>112</v>
      </c>
      <c r="C16" s="30"/>
      <c r="D16" s="30" t="s">
        <v>113</v>
      </c>
      <c r="E16" s="30"/>
      <c r="F16" s="30"/>
      <c r="G16" s="30"/>
      <c r="H16" s="30"/>
      <c r="I16" s="30"/>
      <c r="J16" s="30"/>
      <c r="K16" s="30"/>
      <c r="L16" s="30"/>
      <c r="M16" s="8"/>
      <c r="N16" s="9"/>
    </row>
    <row r="17" spans="2:14" s="114" customFormat="1" ht="14.45" customHeight="1" x14ac:dyDescent="0.2">
      <c r="B17" s="10" t="s">
        <v>114</v>
      </c>
      <c r="C17" s="31"/>
      <c r="D17" s="31" t="s">
        <v>115</v>
      </c>
      <c r="E17" s="31"/>
      <c r="F17" s="31"/>
      <c r="G17" s="31"/>
      <c r="H17" s="31"/>
      <c r="I17" s="31"/>
      <c r="J17" s="31"/>
      <c r="K17" s="31"/>
      <c r="L17" s="31"/>
      <c r="M17" s="32"/>
      <c r="N17" s="33"/>
    </row>
    <row r="18" spans="2:14" s="114" customFormat="1" ht="14.45" customHeight="1" thickBot="1" x14ac:dyDescent="0.25">
      <c r="B18" s="34"/>
      <c r="C18" s="31"/>
      <c r="D18" s="31"/>
      <c r="E18" s="31"/>
      <c r="F18" s="31"/>
      <c r="G18" s="31"/>
      <c r="H18" s="31"/>
      <c r="I18" s="31"/>
      <c r="J18" s="31"/>
      <c r="K18" s="31"/>
      <c r="L18" s="31"/>
      <c r="M18" s="32"/>
      <c r="N18" s="33"/>
    </row>
    <row r="19" spans="2:14" ht="13.35" customHeight="1" thickBot="1" x14ac:dyDescent="0.25">
      <c r="B19" s="4"/>
      <c r="C19" s="35" t="s">
        <v>110</v>
      </c>
      <c r="D19" s="36">
        <v>2023</v>
      </c>
      <c r="E19" s="37">
        <f>D19-1</f>
        <v>2022</v>
      </c>
      <c r="F19" s="37">
        <f t="shared" ref="F19:N19" si="2">E19-1</f>
        <v>2021</v>
      </c>
      <c r="G19" s="37">
        <f t="shared" si="2"/>
        <v>2020</v>
      </c>
      <c r="H19" s="37">
        <f t="shared" si="2"/>
        <v>2019</v>
      </c>
      <c r="I19" s="37">
        <f t="shared" si="2"/>
        <v>2018</v>
      </c>
      <c r="J19" s="37">
        <f t="shared" si="2"/>
        <v>2017</v>
      </c>
      <c r="K19" s="37">
        <f t="shared" si="2"/>
        <v>2016</v>
      </c>
      <c r="L19" s="37">
        <f t="shared" si="2"/>
        <v>2015</v>
      </c>
      <c r="M19" s="38">
        <f t="shared" si="2"/>
        <v>2014</v>
      </c>
      <c r="N19" s="38">
        <f t="shared" si="2"/>
        <v>2013</v>
      </c>
    </row>
    <row r="20" spans="2:14" ht="13.35" customHeight="1" x14ac:dyDescent="0.2">
      <c r="B20" s="4"/>
      <c r="C20" s="40" t="s">
        <v>116</v>
      </c>
      <c r="D20" s="41">
        <v>0.05</v>
      </c>
      <c r="E20" s="42">
        <v>-0.05</v>
      </c>
      <c r="F20" s="42">
        <v>-0.05</v>
      </c>
      <c r="G20" s="42">
        <v>-0.1</v>
      </c>
      <c r="H20" s="42">
        <v>-0.2</v>
      </c>
      <c r="I20" s="42">
        <v>-0.1</v>
      </c>
      <c r="J20" s="42">
        <v>0.1</v>
      </c>
      <c r="K20" s="42">
        <v>0.2</v>
      </c>
      <c r="L20" s="42">
        <v>0.05</v>
      </c>
      <c r="M20" s="43"/>
      <c r="N20" s="43"/>
    </row>
    <row r="21" spans="2:14" ht="13.5" thickBot="1" x14ac:dyDescent="0.25">
      <c r="B21" s="4"/>
      <c r="C21" s="44" t="s">
        <v>111</v>
      </c>
      <c r="D21" s="45">
        <f t="shared" ref="D21:L21" si="3">E21*(1+D20)</f>
        <v>85.108854600000029</v>
      </c>
      <c r="E21" s="46">
        <f t="shared" si="3"/>
        <v>81.056052000000022</v>
      </c>
      <c r="F21" s="46">
        <f t="shared" si="3"/>
        <v>85.322160000000025</v>
      </c>
      <c r="G21" s="46">
        <f t="shared" si="3"/>
        <v>89.812800000000024</v>
      </c>
      <c r="H21" s="46">
        <f t="shared" si="3"/>
        <v>99.79200000000003</v>
      </c>
      <c r="I21" s="46">
        <f t="shared" si="3"/>
        <v>124.74000000000002</v>
      </c>
      <c r="J21" s="46">
        <f t="shared" si="3"/>
        <v>138.60000000000002</v>
      </c>
      <c r="K21" s="46">
        <f t="shared" si="3"/>
        <v>126</v>
      </c>
      <c r="L21" s="46">
        <f t="shared" si="3"/>
        <v>105</v>
      </c>
      <c r="M21" s="47">
        <v>100</v>
      </c>
      <c r="N21" s="47">
        <v>100</v>
      </c>
    </row>
    <row r="22" spans="2:14" ht="13.5" thickBot="1" x14ac:dyDescent="0.25">
      <c r="B22" s="5"/>
      <c r="C22" s="6"/>
      <c r="D22" s="6"/>
      <c r="E22" s="6"/>
      <c r="F22" s="6"/>
      <c r="G22" s="6"/>
      <c r="H22" s="6"/>
      <c r="I22" s="6"/>
      <c r="J22" s="6"/>
      <c r="K22" s="6"/>
      <c r="L22" s="6"/>
      <c r="M22" s="6"/>
      <c r="N22" s="7"/>
    </row>
    <row r="23" spans="2:14" s="114" customFormat="1" x14ac:dyDescent="0.2"/>
    <row r="24" spans="2:14" x14ac:dyDescent="0.2">
      <c r="B24" s="182" t="s">
        <v>14</v>
      </c>
      <c r="C24" s="114"/>
      <c r="D24" s="114"/>
      <c r="E24" s="114"/>
    </row>
    <row r="25" spans="2:14" x14ac:dyDescent="0.2">
      <c r="B25" s="466"/>
      <c r="C25" s="466"/>
      <c r="D25" s="466"/>
      <c r="E25" s="466"/>
    </row>
    <row r="26" spans="2:14" x14ac:dyDescent="0.2">
      <c r="B26" s="466"/>
      <c r="C26" s="466"/>
      <c r="D26" s="466"/>
      <c r="E26" s="466"/>
    </row>
    <row r="27" spans="2:14" x14ac:dyDescent="0.2">
      <c r="B27" s="466"/>
      <c r="C27" s="466"/>
      <c r="D27" s="466"/>
      <c r="E27" s="466"/>
    </row>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24"/>
  <sheetViews>
    <sheetView topLeftCell="A6" zoomScaleNormal="100" workbookViewId="0">
      <selection activeCell="B13" sqref="B13"/>
    </sheetView>
  </sheetViews>
  <sheetFormatPr defaultColWidth="11.42578125" defaultRowHeight="12.75" x14ac:dyDescent="0.2"/>
  <cols>
    <col min="1" max="1" width="2.85546875" style="115" customWidth="1"/>
    <col min="2" max="3" width="23.140625" style="115" customWidth="1"/>
    <col min="4"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37" t="s">
        <v>312</v>
      </c>
      <c r="C2" s="438"/>
      <c r="D2" s="438"/>
      <c r="E2" s="438"/>
      <c r="F2" s="438"/>
      <c r="G2" s="438"/>
      <c r="H2" s="438"/>
      <c r="I2" s="438"/>
      <c r="J2" s="438"/>
      <c r="K2" s="438"/>
      <c r="L2" s="438"/>
      <c r="M2" s="438"/>
      <c r="N2" s="43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51" t="str">
        <f>Header!$D$4</f>
        <v>ZARAI REINSURANCE CORPORATION</v>
      </c>
      <c r="E5" s="452"/>
      <c r="N5" s="113"/>
    </row>
    <row r="6" spans="2:17" s="114" customFormat="1" ht="14.45" customHeight="1" x14ac:dyDescent="0.2">
      <c r="C6" s="118" t="s">
        <v>3</v>
      </c>
      <c r="D6" s="451" t="str">
        <f>Header!$D$5</f>
        <v>Kenya</v>
      </c>
      <c r="E6" s="452"/>
      <c r="F6" s="114" t="s">
        <v>104</v>
      </c>
    </row>
    <row r="7" spans="2:17" s="114" customFormat="1" ht="14.45" customHeight="1" x14ac:dyDescent="0.2">
      <c r="C7" s="118" t="s">
        <v>4</v>
      </c>
      <c r="D7" s="451" t="str">
        <f>Header!$D$6</f>
        <v>KES</v>
      </c>
      <c r="E7" s="452"/>
    </row>
    <row r="8" spans="2:17" s="114" customFormat="1" ht="14.45" customHeight="1" x14ac:dyDescent="0.2">
      <c r="C8" s="118" t="s">
        <v>105</v>
      </c>
      <c r="D8" s="451">
        <f>YEAR(Header!$D$11)</f>
        <v>2026</v>
      </c>
      <c r="E8" s="452"/>
    </row>
    <row r="9" spans="2:17" s="114" customFormat="1" ht="14.45" customHeight="1" x14ac:dyDescent="0.2">
      <c r="C9" s="118" t="s">
        <v>11</v>
      </c>
      <c r="D9" s="451" t="str">
        <f>Header!$D$15</f>
        <v>Property</v>
      </c>
      <c r="E9" s="452"/>
    </row>
    <row r="10" spans="2:17" s="114" customFormat="1" ht="14.45" customHeight="1" x14ac:dyDescent="0.2">
      <c r="C10" s="118" t="s">
        <v>106</v>
      </c>
      <c r="D10" s="431" t="s">
        <v>184</v>
      </c>
      <c r="E10" s="433"/>
    </row>
    <row r="11" spans="2:17" s="114" customFormat="1" ht="14.45" customHeight="1" thickBot="1" x14ac:dyDescent="0.25"/>
    <row r="12" spans="2:17" s="114" customFormat="1" x14ac:dyDescent="0.2">
      <c r="B12" s="327" t="s">
        <v>326</v>
      </c>
      <c r="C12" s="324" t="s">
        <v>313</v>
      </c>
      <c r="D12" s="115"/>
      <c r="E12" s="115"/>
      <c r="F12" s="115"/>
      <c r="G12" s="115"/>
      <c r="H12" s="115"/>
      <c r="I12" s="115"/>
      <c r="J12" s="115"/>
      <c r="K12" s="115"/>
      <c r="L12" s="115"/>
      <c r="M12" s="115"/>
      <c r="N12" s="115"/>
      <c r="O12" s="115"/>
    </row>
    <row r="13" spans="2:17" s="114" customFormat="1" x14ac:dyDescent="0.2">
      <c r="B13" s="328"/>
      <c r="C13" s="325"/>
      <c r="D13" s="115"/>
      <c r="E13" s="115"/>
      <c r="F13" s="115"/>
      <c r="G13" s="115"/>
      <c r="H13" s="115"/>
      <c r="I13" s="115"/>
      <c r="J13" s="115"/>
      <c r="K13" s="115"/>
      <c r="L13" s="115"/>
      <c r="M13" s="115"/>
      <c r="N13" s="115"/>
      <c r="O13" s="115"/>
    </row>
    <row r="14" spans="2:17" s="114" customFormat="1" x14ac:dyDescent="0.2">
      <c r="B14" s="328"/>
      <c r="C14" s="325"/>
      <c r="D14" s="115"/>
      <c r="E14" s="115"/>
      <c r="F14" s="115"/>
      <c r="G14" s="115"/>
      <c r="H14" s="115"/>
      <c r="I14" s="115"/>
      <c r="J14" s="115"/>
      <c r="K14" s="115"/>
      <c r="L14" s="115"/>
      <c r="M14" s="115"/>
      <c r="N14" s="115"/>
      <c r="O14" s="115"/>
    </row>
    <row r="15" spans="2:17" s="114" customFormat="1" x14ac:dyDescent="0.2">
      <c r="B15" s="328"/>
      <c r="C15" s="325"/>
      <c r="D15" s="115"/>
      <c r="E15" s="115"/>
      <c r="F15" s="115"/>
      <c r="G15" s="115"/>
      <c r="H15" s="115"/>
      <c r="I15" s="115"/>
      <c r="J15" s="115"/>
      <c r="K15" s="115"/>
      <c r="L15" s="115"/>
      <c r="M15" s="115"/>
      <c r="N15" s="115"/>
      <c r="O15" s="115"/>
    </row>
    <row r="16" spans="2:17" s="114" customFormat="1" x14ac:dyDescent="0.2">
      <c r="B16" s="328"/>
      <c r="C16" s="325"/>
      <c r="D16" s="115"/>
      <c r="E16" s="115"/>
      <c r="F16" s="115"/>
      <c r="G16" s="115"/>
      <c r="H16" s="115"/>
      <c r="I16" s="115"/>
      <c r="J16" s="115"/>
      <c r="K16" s="115"/>
      <c r="L16" s="115"/>
      <c r="M16" s="115"/>
      <c r="N16" s="115"/>
      <c r="O16" s="115"/>
    </row>
    <row r="17" spans="2:15" s="114" customFormat="1" x14ac:dyDescent="0.2">
      <c r="B17" s="328"/>
      <c r="C17" s="325"/>
      <c r="D17" s="115"/>
      <c r="E17" s="115"/>
      <c r="F17" s="115"/>
      <c r="G17" s="115"/>
      <c r="H17" s="115"/>
      <c r="I17" s="115"/>
      <c r="J17" s="115"/>
      <c r="K17" s="115"/>
      <c r="L17" s="115"/>
      <c r="M17" s="115"/>
      <c r="N17" s="115"/>
      <c r="O17" s="115"/>
    </row>
    <row r="18" spans="2:15" s="114" customFormat="1" x14ac:dyDescent="0.2">
      <c r="B18" s="328"/>
      <c r="C18" s="325"/>
      <c r="D18" s="115"/>
      <c r="E18" s="115"/>
      <c r="F18" s="115"/>
      <c r="G18" s="115"/>
      <c r="H18" s="115"/>
      <c r="I18" s="115"/>
      <c r="J18" s="115"/>
      <c r="K18" s="115"/>
      <c r="L18" s="115"/>
      <c r="M18" s="115"/>
      <c r="N18" s="115"/>
      <c r="O18" s="115"/>
    </row>
    <row r="19" spans="2:15" s="114" customFormat="1" ht="13.5" thickBot="1" x14ac:dyDescent="0.25">
      <c r="B19" s="329"/>
      <c r="C19" s="326"/>
      <c r="D19" s="115"/>
      <c r="E19" s="115"/>
      <c r="F19" s="115"/>
      <c r="G19" s="115"/>
      <c r="H19" s="115"/>
      <c r="I19" s="115"/>
      <c r="J19" s="115"/>
      <c r="K19" s="115"/>
      <c r="L19" s="115"/>
      <c r="M19" s="115"/>
      <c r="N19" s="115"/>
      <c r="O19" s="115"/>
    </row>
    <row r="20" spans="2:15" s="114" customFormat="1" x14ac:dyDescent="0.2"/>
    <row r="21" spans="2:15" x14ac:dyDescent="0.2">
      <c r="B21" s="182" t="s">
        <v>14</v>
      </c>
      <c r="C21" s="114"/>
      <c r="D21" s="114"/>
      <c r="E21" s="114"/>
    </row>
    <row r="22" spans="2:15" x14ac:dyDescent="0.2">
      <c r="B22" s="466"/>
      <c r="C22" s="466"/>
      <c r="D22" s="466"/>
      <c r="E22" s="466"/>
    </row>
    <row r="23" spans="2:15" x14ac:dyDescent="0.2">
      <c r="B23" s="466"/>
      <c r="C23" s="466"/>
      <c r="D23" s="466"/>
      <c r="E23" s="466"/>
    </row>
    <row r="24" spans="2:15" x14ac:dyDescent="0.2">
      <c r="B24" s="466"/>
      <c r="C24" s="466"/>
      <c r="D24" s="466"/>
      <c r="E24" s="466"/>
    </row>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A4C80-9D54-482F-944E-35B0F8B63117}">
  <sheetPr>
    <tabColor rgb="FF26B8AD"/>
  </sheetPr>
  <dimension ref="A2:K35"/>
  <sheetViews>
    <sheetView workbookViewId="0">
      <selection activeCell="I34" sqref="I34"/>
    </sheetView>
  </sheetViews>
  <sheetFormatPr defaultColWidth="11.42578125" defaultRowHeight="12.75" x14ac:dyDescent="0.2"/>
  <cols>
    <col min="1" max="1" width="2.85546875" style="115" customWidth="1"/>
    <col min="2" max="2" width="15.42578125" style="115" bestFit="1" customWidth="1"/>
    <col min="3" max="3" width="22.140625" style="115" bestFit="1" customWidth="1"/>
    <col min="4" max="4" width="11" style="115" customWidth="1"/>
    <col min="5" max="5" width="19.5703125" style="115" bestFit="1" customWidth="1"/>
    <col min="6" max="6" width="13.85546875" style="115" customWidth="1"/>
    <col min="7" max="7" width="28.140625" style="115" bestFit="1" customWidth="1"/>
    <col min="8" max="8" width="13.85546875" style="115" customWidth="1"/>
    <col min="9" max="9" width="8.85546875" style="115" customWidth="1"/>
    <col min="10" max="11" width="13.85546875" style="115" customWidth="1"/>
    <col min="12" max="246" width="11.42578125" style="115"/>
    <col min="247" max="247" width="6.85546875" style="115" customWidth="1"/>
    <col min="248" max="248" width="13.85546875" style="115" customWidth="1"/>
    <col min="249" max="249" width="1.5703125" style="115" customWidth="1"/>
    <col min="250" max="257" width="13.85546875" style="115" customWidth="1"/>
    <col min="258" max="502" width="11.42578125" style="115"/>
    <col min="503" max="503" width="6.85546875" style="115" customWidth="1"/>
    <col min="504" max="504" width="13.85546875" style="115" customWidth="1"/>
    <col min="505" max="505" width="1.5703125" style="115" customWidth="1"/>
    <col min="506" max="513" width="13.85546875" style="115" customWidth="1"/>
    <col min="514" max="758" width="11.42578125" style="115"/>
    <col min="759" max="759" width="6.85546875" style="115" customWidth="1"/>
    <col min="760" max="760" width="13.85546875" style="115" customWidth="1"/>
    <col min="761" max="761" width="1.5703125" style="115" customWidth="1"/>
    <col min="762" max="769" width="13.85546875" style="115" customWidth="1"/>
    <col min="770" max="1014" width="11.42578125" style="115"/>
    <col min="1015" max="1015" width="6.85546875" style="115" customWidth="1"/>
    <col min="1016" max="1016" width="13.85546875" style="115" customWidth="1"/>
    <col min="1017" max="1017" width="1.5703125" style="115" customWidth="1"/>
    <col min="1018" max="1025" width="13.85546875" style="115" customWidth="1"/>
    <col min="1026" max="1270" width="11.42578125" style="115"/>
    <col min="1271" max="1271" width="6.85546875" style="115" customWidth="1"/>
    <col min="1272" max="1272" width="13.85546875" style="115" customWidth="1"/>
    <col min="1273" max="1273" width="1.5703125" style="115" customWidth="1"/>
    <col min="1274" max="1281" width="13.85546875" style="115" customWidth="1"/>
    <col min="1282" max="1526" width="11.42578125" style="115"/>
    <col min="1527" max="1527" width="6.85546875" style="115" customWidth="1"/>
    <col min="1528" max="1528" width="13.85546875" style="115" customWidth="1"/>
    <col min="1529" max="1529" width="1.5703125" style="115" customWidth="1"/>
    <col min="1530" max="1537" width="13.85546875" style="115" customWidth="1"/>
    <col min="1538" max="1782" width="11.42578125" style="115"/>
    <col min="1783" max="1783" width="6.85546875" style="115" customWidth="1"/>
    <col min="1784" max="1784" width="13.85546875" style="115" customWidth="1"/>
    <col min="1785" max="1785" width="1.5703125" style="115" customWidth="1"/>
    <col min="1786" max="1793" width="13.85546875" style="115" customWidth="1"/>
    <col min="1794" max="2038" width="11.42578125" style="115"/>
    <col min="2039" max="2039" width="6.85546875" style="115" customWidth="1"/>
    <col min="2040" max="2040" width="13.85546875" style="115" customWidth="1"/>
    <col min="2041" max="2041" width="1.5703125" style="115" customWidth="1"/>
    <col min="2042" max="2049" width="13.85546875" style="115" customWidth="1"/>
    <col min="2050" max="2294" width="11.42578125" style="115"/>
    <col min="2295" max="2295" width="6.85546875" style="115" customWidth="1"/>
    <col min="2296" max="2296" width="13.85546875" style="115" customWidth="1"/>
    <col min="2297" max="2297" width="1.5703125" style="115" customWidth="1"/>
    <col min="2298" max="2305" width="13.85546875" style="115" customWidth="1"/>
    <col min="2306" max="2550" width="11.42578125" style="115"/>
    <col min="2551" max="2551" width="6.85546875" style="115" customWidth="1"/>
    <col min="2552" max="2552" width="13.85546875" style="115" customWidth="1"/>
    <col min="2553" max="2553" width="1.5703125" style="115" customWidth="1"/>
    <col min="2554" max="2561" width="13.85546875" style="115" customWidth="1"/>
    <col min="2562" max="2806" width="11.42578125" style="115"/>
    <col min="2807" max="2807" width="6.85546875" style="115" customWidth="1"/>
    <col min="2808" max="2808" width="13.85546875" style="115" customWidth="1"/>
    <col min="2809" max="2809" width="1.5703125" style="115" customWidth="1"/>
    <col min="2810" max="2817" width="13.85546875" style="115" customWidth="1"/>
    <col min="2818" max="3062" width="11.42578125" style="115"/>
    <col min="3063" max="3063" width="6.85546875" style="115" customWidth="1"/>
    <col min="3064" max="3064" width="13.85546875" style="115" customWidth="1"/>
    <col min="3065" max="3065" width="1.5703125" style="115" customWidth="1"/>
    <col min="3066" max="3073" width="13.85546875" style="115" customWidth="1"/>
    <col min="3074" max="3318" width="11.42578125" style="115"/>
    <col min="3319" max="3319" width="6.85546875" style="115" customWidth="1"/>
    <col min="3320" max="3320" width="13.85546875" style="115" customWidth="1"/>
    <col min="3321" max="3321" width="1.5703125" style="115" customWidth="1"/>
    <col min="3322" max="3329" width="13.85546875" style="115" customWidth="1"/>
    <col min="3330" max="3574" width="11.42578125" style="115"/>
    <col min="3575" max="3575" width="6.85546875" style="115" customWidth="1"/>
    <col min="3576" max="3576" width="13.85546875" style="115" customWidth="1"/>
    <col min="3577" max="3577" width="1.5703125" style="115" customWidth="1"/>
    <col min="3578" max="3585" width="13.85546875" style="115" customWidth="1"/>
    <col min="3586" max="3830" width="11.42578125" style="115"/>
    <col min="3831" max="3831" width="6.85546875" style="115" customWidth="1"/>
    <col min="3832" max="3832" width="13.85546875" style="115" customWidth="1"/>
    <col min="3833" max="3833" width="1.5703125" style="115" customWidth="1"/>
    <col min="3834" max="3841" width="13.85546875" style="115" customWidth="1"/>
    <col min="3842" max="4086" width="11.42578125" style="115"/>
    <col min="4087" max="4087" width="6.85546875" style="115" customWidth="1"/>
    <col min="4088" max="4088" width="13.85546875" style="115" customWidth="1"/>
    <col min="4089" max="4089" width="1.5703125" style="115" customWidth="1"/>
    <col min="4090" max="4097" width="13.85546875" style="115" customWidth="1"/>
    <col min="4098" max="4342" width="11.42578125" style="115"/>
    <col min="4343" max="4343" width="6.85546875" style="115" customWidth="1"/>
    <col min="4344" max="4344" width="13.85546875" style="115" customWidth="1"/>
    <col min="4345" max="4345" width="1.5703125" style="115" customWidth="1"/>
    <col min="4346" max="4353" width="13.85546875" style="115" customWidth="1"/>
    <col min="4354" max="4598" width="11.42578125" style="115"/>
    <col min="4599" max="4599" width="6.85546875" style="115" customWidth="1"/>
    <col min="4600" max="4600" width="13.85546875" style="115" customWidth="1"/>
    <col min="4601" max="4601" width="1.5703125" style="115" customWidth="1"/>
    <col min="4602" max="4609" width="13.85546875" style="115" customWidth="1"/>
    <col min="4610" max="4854" width="11.42578125" style="115"/>
    <col min="4855" max="4855" width="6.85546875" style="115" customWidth="1"/>
    <col min="4856" max="4856" width="13.85546875" style="115" customWidth="1"/>
    <col min="4857" max="4857" width="1.5703125" style="115" customWidth="1"/>
    <col min="4858" max="4865" width="13.85546875" style="115" customWidth="1"/>
    <col min="4866" max="5110" width="11.42578125" style="115"/>
    <col min="5111" max="5111" width="6.85546875" style="115" customWidth="1"/>
    <col min="5112" max="5112" width="13.85546875" style="115" customWidth="1"/>
    <col min="5113" max="5113" width="1.5703125" style="115" customWidth="1"/>
    <col min="5114" max="5121" width="13.85546875" style="115" customWidth="1"/>
    <col min="5122" max="5366" width="11.42578125" style="115"/>
    <col min="5367" max="5367" width="6.85546875" style="115" customWidth="1"/>
    <col min="5368" max="5368" width="13.85546875" style="115" customWidth="1"/>
    <col min="5369" max="5369" width="1.5703125" style="115" customWidth="1"/>
    <col min="5370" max="5377" width="13.85546875" style="115" customWidth="1"/>
    <col min="5378" max="5622" width="11.42578125" style="115"/>
    <col min="5623" max="5623" width="6.85546875" style="115" customWidth="1"/>
    <col min="5624" max="5624" width="13.85546875" style="115" customWidth="1"/>
    <col min="5625" max="5625" width="1.5703125" style="115" customWidth="1"/>
    <col min="5626" max="5633" width="13.85546875" style="115" customWidth="1"/>
    <col min="5634" max="5878" width="11.42578125" style="115"/>
    <col min="5879" max="5879" width="6.85546875" style="115" customWidth="1"/>
    <col min="5880" max="5880" width="13.85546875" style="115" customWidth="1"/>
    <col min="5881" max="5881" width="1.5703125" style="115" customWidth="1"/>
    <col min="5882" max="5889" width="13.85546875" style="115" customWidth="1"/>
    <col min="5890" max="6134" width="11.42578125" style="115"/>
    <col min="6135" max="6135" width="6.85546875" style="115" customWidth="1"/>
    <col min="6136" max="6136" width="13.85546875" style="115" customWidth="1"/>
    <col min="6137" max="6137" width="1.5703125" style="115" customWidth="1"/>
    <col min="6138" max="6145" width="13.85546875" style="115" customWidth="1"/>
    <col min="6146" max="6390" width="11.42578125" style="115"/>
    <col min="6391" max="6391" width="6.85546875" style="115" customWidth="1"/>
    <col min="6392" max="6392" width="13.85546875" style="115" customWidth="1"/>
    <col min="6393" max="6393" width="1.5703125" style="115" customWidth="1"/>
    <col min="6394" max="6401" width="13.85546875" style="115" customWidth="1"/>
    <col min="6402" max="6646" width="11.42578125" style="115"/>
    <col min="6647" max="6647" width="6.85546875" style="115" customWidth="1"/>
    <col min="6648" max="6648" width="13.85546875" style="115" customWidth="1"/>
    <col min="6649" max="6649" width="1.5703125" style="115" customWidth="1"/>
    <col min="6650" max="6657" width="13.85546875" style="115" customWidth="1"/>
    <col min="6658" max="6902" width="11.42578125" style="115"/>
    <col min="6903" max="6903" width="6.85546875" style="115" customWidth="1"/>
    <col min="6904" max="6904" width="13.85546875" style="115" customWidth="1"/>
    <col min="6905" max="6905" width="1.5703125" style="115" customWidth="1"/>
    <col min="6906" max="6913" width="13.85546875" style="115" customWidth="1"/>
    <col min="6914" max="7158" width="11.42578125" style="115"/>
    <col min="7159" max="7159" width="6.85546875" style="115" customWidth="1"/>
    <col min="7160" max="7160" width="13.85546875" style="115" customWidth="1"/>
    <col min="7161" max="7161" width="1.5703125" style="115" customWidth="1"/>
    <col min="7162" max="7169" width="13.85546875" style="115" customWidth="1"/>
    <col min="7170" max="7414" width="11.42578125" style="115"/>
    <col min="7415" max="7415" width="6.85546875" style="115" customWidth="1"/>
    <col min="7416" max="7416" width="13.85546875" style="115" customWidth="1"/>
    <col min="7417" max="7417" width="1.5703125" style="115" customWidth="1"/>
    <col min="7418" max="7425" width="13.85546875" style="115" customWidth="1"/>
    <col min="7426" max="7670" width="11.42578125" style="115"/>
    <col min="7671" max="7671" width="6.85546875" style="115" customWidth="1"/>
    <col min="7672" max="7672" width="13.85546875" style="115" customWidth="1"/>
    <col min="7673" max="7673" width="1.5703125" style="115" customWidth="1"/>
    <col min="7674" max="7681" width="13.85546875" style="115" customWidth="1"/>
    <col min="7682" max="7926" width="11.42578125" style="115"/>
    <col min="7927" max="7927" width="6.85546875" style="115" customWidth="1"/>
    <col min="7928" max="7928" width="13.85546875" style="115" customWidth="1"/>
    <col min="7929" max="7929" width="1.5703125" style="115" customWidth="1"/>
    <col min="7930" max="7937" width="13.85546875" style="115" customWidth="1"/>
    <col min="7938" max="8182" width="11.42578125" style="115"/>
    <col min="8183" max="8183" width="6.85546875" style="115" customWidth="1"/>
    <col min="8184" max="8184" width="13.85546875" style="115" customWidth="1"/>
    <col min="8185" max="8185" width="1.5703125" style="115" customWidth="1"/>
    <col min="8186" max="8193" width="13.85546875" style="115" customWidth="1"/>
    <col min="8194" max="8438" width="11.42578125" style="115"/>
    <col min="8439" max="8439" width="6.85546875" style="115" customWidth="1"/>
    <col min="8440" max="8440" width="13.85546875" style="115" customWidth="1"/>
    <col min="8441" max="8441" width="1.5703125" style="115" customWidth="1"/>
    <col min="8442" max="8449" width="13.85546875" style="115" customWidth="1"/>
    <col min="8450" max="8694" width="11.42578125" style="115"/>
    <col min="8695" max="8695" width="6.85546875" style="115" customWidth="1"/>
    <col min="8696" max="8696" width="13.85546875" style="115" customWidth="1"/>
    <col min="8697" max="8697" width="1.5703125" style="115" customWidth="1"/>
    <col min="8698" max="8705" width="13.85546875" style="115" customWidth="1"/>
    <col min="8706" max="8950" width="11.42578125" style="115"/>
    <col min="8951" max="8951" width="6.85546875" style="115" customWidth="1"/>
    <col min="8952" max="8952" width="13.85546875" style="115" customWidth="1"/>
    <col min="8953" max="8953" width="1.5703125" style="115" customWidth="1"/>
    <col min="8954" max="8961" width="13.85546875" style="115" customWidth="1"/>
    <col min="8962" max="9206" width="11.42578125" style="115"/>
    <col min="9207" max="9207" width="6.85546875" style="115" customWidth="1"/>
    <col min="9208" max="9208" width="13.85546875" style="115" customWidth="1"/>
    <col min="9209" max="9209" width="1.5703125" style="115" customWidth="1"/>
    <col min="9210" max="9217" width="13.85546875" style="115" customWidth="1"/>
    <col min="9218" max="9462" width="11.42578125" style="115"/>
    <col min="9463" max="9463" width="6.85546875" style="115" customWidth="1"/>
    <col min="9464" max="9464" width="13.85546875" style="115" customWidth="1"/>
    <col min="9465" max="9465" width="1.5703125" style="115" customWidth="1"/>
    <col min="9466" max="9473" width="13.85546875" style="115" customWidth="1"/>
    <col min="9474" max="9718" width="11.42578125" style="115"/>
    <col min="9719" max="9719" width="6.85546875" style="115" customWidth="1"/>
    <col min="9720" max="9720" width="13.85546875" style="115" customWidth="1"/>
    <col min="9721" max="9721" width="1.5703125" style="115" customWidth="1"/>
    <col min="9722" max="9729" width="13.85546875" style="115" customWidth="1"/>
    <col min="9730" max="9974" width="11.42578125" style="115"/>
    <col min="9975" max="9975" width="6.85546875" style="115" customWidth="1"/>
    <col min="9976" max="9976" width="13.85546875" style="115" customWidth="1"/>
    <col min="9977" max="9977" width="1.5703125" style="115" customWidth="1"/>
    <col min="9978" max="9985" width="13.85546875" style="115" customWidth="1"/>
    <col min="9986" max="10230" width="11.42578125" style="115"/>
    <col min="10231" max="10231" width="6.85546875" style="115" customWidth="1"/>
    <col min="10232" max="10232" width="13.85546875" style="115" customWidth="1"/>
    <col min="10233" max="10233" width="1.5703125" style="115" customWidth="1"/>
    <col min="10234" max="10241" width="13.85546875" style="115" customWidth="1"/>
    <col min="10242" max="10486" width="11.42578125" style="115"/>
    <col min="10487" max="10487" width="6.85546875" style="115" customWidth="1"/>
    <col min="10488" max="10488" width="13.85546875" style="115" customWidth="1"/>
    <col min="10489" max="10489" width="1.5703125" style="115" customWidth="1"/>
    <col min="10490" max="10497" width="13.85546875" style="115" customWidth="1"/>
    <col min="10498" max="10742" width="11.42578125" style="115"/>
    <col min="10743" max="10743" width="6.85546875" style="115" customWidth="1"/>
    <col min="10744" max="10744" width="13.85546875" style="115" customWidth="1"/>
    <col min="10745" max="10745" width="1.5703125" style="115" customWidth="1"/>
    <col min="10746" max="10753" width="13.85546875" style="115" customWidth="1"/>
    <col min="10754" max="10998" width="11.42578125" style="115"/>
    <col min="10999" max="10999" width="6.85546875" style="115" customWidth="1"/>
    <col min="11000" max="11000" width="13.85546875" style="115" customWidth="1"/>
    <col min="11001" max="11001" width="1.5703125" style="115" customWidth="1"/>
    <col min="11002" max="11009" width="13.85546875" style="115" customWidth="1"/>
    <col min="11010" max="11254" width="11.42578125" style="115"/>
    <col min="11255" max="11255" width="6.85546875" style="115" customWidth="1"/>
    <col min="11256" max="11256" width="13.85546875" style="115" customWidth="1"/>
    <col min="11257" max="11257" width="1.5703125" style="115" customWidth="1"/>
    <col min="11258" max="11265" width="13.85546875" style="115" customWidth="1"/>
    <col min="11266" max="11510" width="11.42578125" style="115"/>
    <col min="11511" max="11511" width="6.85546875" style="115" customWidth="1"/>
    <col min="11512" max="11512" width="13.85546875" style="115" customWidth="1"/>
    <col min="11513" max="11513" width="1.5703125" style="115" customWidth="1"/>
    <col min="11514" max="11521" width="13.85546875" style="115" customWidth="1"/>
    <col min="11522" max="11766" width="11.42578125" style="115"/>
    <col min="11767" max="11767" width="6.85546875" style="115" customWidth="1"/>
    <col min="11768" max="11768" width="13.85546875" style="115" customWidth="1"/>
    <col min="11769" max="11769" width="1.5703125" style="115" customWidth="1"/>
    <col min="11770" max="11777" width="13.85546875" style="115" customWidth="1"/>
    <col min="11778" max="12022" width="11.42578125" style="115"/>
    <col min="12023" max="12023" width="6.85546875" style="115" customWidth="1"/>
    <col min="12024" max="12024" width="13.85546875" style="115" customWidth="1"/>
    <col min="12025" max="12025" width="1.5703125" style="115" customWidth="1"/>
    <col min="12026" max="12033" width="13.85546875" style="115" customWidth="1"/>
    <col min="12034" max="12278" width="11.42578125" style="115"/>
    <col min="12279" max="12279" width="6.85546875" style="115" customWidth="1"/>
    <col min="12280" max="12280" width="13.85546875" style="115" customWidth="1"/>
    <col min="12281" max="12281" width="1.5703125" style="115" customWidth="1"/>
    <col min="12282" max="12289" width="13.85546875" style="115" customWidth="1"/>
    <col min="12290" max="12534" width="11.42578125" style="115"/>
    <col min="12535" max="12535" width="6.85546875" style="115" customWidth="1"/>
    <col min="12536" max="12536" width="13.85546875" style="115" customWidth="1"/>
    <col min="12537" max="12537" width="1.5703125" style="115" customWidth="1"/>
    <col min="12538" max="12545" width="13.85546875" style="115" customWidth="1"/>
    <col min="12546" max="12790" width="11.42578125" style="115"/>
    <col min="12791" max="12791" width="6.85546875" style="115" customWidth="1"/>
    <col min="12792" max="12792" width="13.85546875" style="115" customWidth="1"/>
    <col min="12793" max="12793" width="1.5703125" style="115" customWidth="1"/>
    <col min="12794" max="12801" width="13.85546875" style="115" customWidth="1"/>
    <col min="12802" max="13046" width="11.42578125" style="115"/>
    <col min="13047" max="13047" width="6.85546875" style="115" customWidth="1"/>
    <col min="13048" max="13048" width="13.85546875" style="115" customWidth="1"/>
    <col min="13049" max="13049" width="1.5703125" style="115" customWidth="1"/>
    <col min="13050" max="13057" width="13.85546875" style="115" customWidth="1"/>
    <col min="13058" max="13302" width="11.42578125" style="115"/>
    <col min="13303" max="13303" width="6.85546875" style="115" customWidth="1"/>
    <col min="13304" max="13304" width="13.85546875" style="115" customWidth="1"/>
    <col min="13305" max="13305" width="1.5703125" style="115" customWidth="1"/>
    <col min="13306" max="13313" width="13.85546875" style="115" customWidth="1"/>
    <col min="13314" max="13558" width="11.42578125" style="115"/>
    <col min="13559" max="13559" width="6.85546875" style="115" customWidth="1"/>
    <col min="13560" max="13560" width="13.85546875" style="115" customWidth="1"/>
    <col min="13561" max="13561" width="1.5703125" style="115" customWidth="1"/>
    <col min="13562" max="13569" width="13.85546875" style="115" customWidth="1"/>
    <col min="13570" max="13814" width="11.42578125" style="115"/>
    <col min="13815" max="13815" width="6.85546875" style="115" customWidth="1"/>
    <col min="13816" max="13816" width="13.85546875" style="115" customWidth="1"/>
    <col min="13817" max="13817" width="1.5703125" style="115" customWidth="1"/>
    <col min="13818" max="13825" width="13.85546875" style="115" customWidth="1"/>
    <col min="13826" max="14070" width="11.42578125" style="115"/>
    <col min="14071" max="14071" width="6.85546875" style="115" customWidth="1"/>
    <col min="14072" max="14072" width="13.85546875" style="115" customWidth="1"/>
    <col min="14073" max="14073" width="1.5703125" style="115" customWidth="1"/>
    <col min="14074" max="14081" width="13.85546875" style="115" customWidth="1"/>
    <col min="14082" max="14326" width="11.42578125" style="115"/>
    <col min="14327" max="14327" width="6.85546875" style="115" customWidth="1"/>
    <col min="14328" max="14328" width="13.85546875" style="115" customWidth="1"/>
    <col min="14329" max="14329" width="1.5703125" style="115" customWidth="1"/>
    <col min="14330" max="14337" width="13.85546875" style="115" customWidth="1"/>
    <col min="14338" max="14582" width="11.42578125" style="115"/>
    <col min="14583" max="14583" width="6.85546875" style="115" customWidth="1"/>
    <col min="14584" max="14584" width="13.85546875" style="115" customWidth="1"/>
    <col min="14585" max="14585" width="1.5703125" style="115" customWidth="1"/>
    <col min="14586" max="14593" width="13.85546875" style="115" customWidth="1"/>
    <col min="14594" max="14838" width="11.42578125" style="115"/>
    <col min="14839" max="14839" width="6.85546875" style="115" customWidth="1"/>
    <col min="14840" max="14840" width="13.85546875" style="115" customWidth="1"/>
    <col min="14841" max="14841" width="1.5703125" style="115" customWidth="1"/>
    <col min="14842" max="14849" width="13.85546875" style="115" customWidth="1"/>
    <col min="14850" max="15094" width="11.42578125" style="115"/>
    <col min="15095" max="15095" width="6.85546875" style="115" customWidth="1"/>
    <col min="15096" max="15096" width="13.85546875" style="115" customWidth="1"/>
    <col min="15097" max="15097" width="1.5703125" style="115" customWidth="1"/>
    <col min="15098" max="15105" width="13.85546875" style="115" customWidth="1"/>
    <col min="15106" max="15350" width="11.42578125" style="115"/>
    <col min="15351" max="15351" width="6.85546875" style="115" customWidth="1"/>
    <col min="15352" max="15352" width="13.85546875" style="115" customWidth="1"/>
    <col min="15353" max="15353" width="1.5703125" style="115" customWidth="1"/>
    <col min="15354" max="15361" width="13.85546875" style="115" customWidth="1"/>
    <col min="15362" max="15606" width="11.42578125" style="115"/>
    <col min="15607" max="15607" width="6.85546875" style="115" customWidth="1"/>
    <col min="15608" max="15608" width="13.85546875" style="115" customWidth="1"/>
    <col min="15609" max="15609" width="1.5703125" style="115" customWidth="1"/>
    <col min="15610" max="15617" width="13.85546875" style="115" customWidth="1"/>
    <col min="15618" max="15862" width="11.42578125" style="115"/>
    <col min="15863" max="15863" width="6.85546875" style="115" customWidth="1"/>
    <col min="15864" max="15864" width="13.85546875" style="115" customWidth="1"/>
    <col min="15865" max="15865" width="1.5703125" style="115" customWidth="1"/>
    <col min="15866" max="15873" width="13.85546875" style="115" customWidth="1"/>
    <col min="15874" max="16118" width="11.42578125" style="115"/>
    <col min="16119" max="16119" width="6.85546875" style="115" customWidth="1"/>
    <col min="16120" max="16120" width="13.85546875" style="115" customWidth="1"/>
    <col min="16121" max="16121" width="1.5703125" style="115" customWidth="1"/>
    <col min="16122" max="16129" width="13.85546875" style="115" customWidth="1"/>
    <col min="16130" max="16384" width="11.42578125" style="115"/>
  </cols>
  <sheetData>
    <row r="2" spans="1:11" ht="47.1" customHeight="1" x14ac:dyDescent="0.2">
      <c r="B2" s="481" t="s">
        <v>117</v>
      </c>
      <c r="C2" s="482"/>
      <c r="D2" s="482"/>
      <c r="E2" s="482"/>
      <c r="F2" s="482"/>
      <c r="G2" s="482"/>
      <c r="H2" s="482"/>
      <c r="I2" s="482"/>
      <c r="J2" s="482"/>
      <c r="K2" s="482"/>
    </row>
    <row r="3" spans="1:11" ht="14.25" customHeight="1" x14ac:dyDescent="0.4">
      <c r="C3" s="117"/>
      <c r="D3" s="117"/>
      <c r="E3" s="117"/>
      <c r="F3" s="117"/>
      <c r="G3" s="117"/>
      <c r="H3" s="117"/>
    </row>
    <row r="4" spans="1:11" s="114" customFormat="1" ht="14.45" customHeight="1" x14ac:dyDescent="0.2">
      <c r="J4" s="116"/>
    </row>
    <row r="5" spans="1:11" s="114" customFormat="1" ht="14.45" customHeight="1" x14ac:dyDescent="0.2">
      <c r="C5" s="118" t="s">
        <v>103</v>
      </c>
      <c r="D5" s="116"/>
      <c r="E5" s="451" t="str">
        <f>Header!$D$4</f>
        <v>ZARAI REINSURANCE CORPORATION</v>
      </c>
      <c r="F5" s="452"/>
    </row>
    <row r="6" spans="1:11" s="114" customFormat="1" ht="14.45" customHeight="1" x14ac:dyDescent="0.2">
      <c r="C6" s="118" t="s">
        <v>3</v>
      </c>
      <c r="D6" s="116"/>
      <c r="E6" s="451" t="str">
        <f>Header!$D$5</f>
        <v>Kenya</v>
      </c>
      <c r="F6" s="452"/>
      <c r="G6" s="114" t="s">
        <v>104</v>
      </c>
    </row>
    <row r="7" spans="1:11" s="114" customFormat="1" ht="14.45" customHeight="1" x14ac:dyDescent="0.2">
      <c r="C7" s="118" t="s">
        <v>4</v>
      </c>
      <c r="D7" s="116"/>
      <c r="E7" s="451" t="str">
        <f>Header!$D$6</f>
        <v>KES</v>
      </c>
      <c r="F7" s="452"/>
    </row>
    <row r="8" spans="1:11" s="114" customFormat="1" ht="14.45" customHeight="1" x14ac:dyDescent="0.2">
      <c r="C8" s="118" t="s">
        <v>105</v>
      </c>
      <c r="D8" s="116"/>
      <c r="E8" s="451">
        <f>YEAR(Header!$D$11)</f>
        <v>2026</v>
      </c>
      <c r="F8" s="452"/>
    </row>
    <row r="9" spans="1:11" s="114" customFormat="1" ht="14.45" customHeight="1" x14ac:dyDescent="0.2">
      <c r="C9" s="118" t="s">
        <v>11</v>
      </c>
      <c r="D9" s="116"/>
      <c r="E9" s="451" t="str">
        <f>Header!$D$15</f>
        <v>Property</v>
      </c>
      <c r="F9" s="452"/>
    </row>
    <row r="10" spans="1:11" s="114" customFormat="1" ht="14.45" customHeight="1" x14ac:dyDescent="0.2">
      <c r="C10" s="118" t="s">
        <v>106</v>
      </c>
      <c r="D10" s="116"/>
      <c r="E10" s="431" t="s">
        <v>184</v>
      </c>
      <c r="F10" s="433"/>
    </row>
    <row r="11" spans="1:11" s="114" customFormat="1" ht="14.45" customHeight="1" x14ac:dyDescent="0.2">
      <c r="C11" s="118" t="s">
        <v>118</v>
      </c>
      <c r="D11" s="116"/>
      <c r="E11" s="431" t="s">
        <v>183</v>
      </c>
      <c r="F11" s="483"/>
    </row>
    <row r="12" spans="1:11" s="114" customFormat="1" ht="14.45" customHeight="1" x14ac:dyDescent="0.2">
      <c r="C12" s="118" t="s">
        <v>119</v>
      </c>
      <c r="D12" s="116"/>
      <c r="E12" s="431" t="s">
        <v>357</v>
      </c>
      <c r="F12" s="483"/>
      <c r="G12" s="119" t="s">
        <v>295</v>
      </c>
    </row>
    <row r="13" spans="1:11" s="114" customFormat="1" ht="14.45" customHeight="1" x14ac:dyDescent="0.2"/>
    <row r="14" spans="1:11" ht="13.5" thickBot="1" x14ac:dyDescent="0.25"/>
    <row r="15" spans="1:11" x14ac:dyDescent="0.2">
      <c r="A15" s="484" t="s">
        <v>328</v>
      </c>
      <c r="B15" s="485"/>
      <c r="C15" s="485"/>
      <c r="D15" s="485"/>
      <c r="E15" s="485"/>
      <c r="F15" s="485"/>
      <c r="G15" s="485"/>
      <c r="H15" s="485"/>
      <c r="I15" s="485"/>
      <c r="J15" s="485"/>
      <c r="K15" s="486"/>
    </row>
    <row r="16" spans="1:11" x14ac:dyDescent="0.2">
      <c r="A16" s="487"/>
      <c r="B16" s="488"/>
      <c r="C16" s="488"/>
      <c r="D16" s="488"/>
      <c r="E16" s="488"/>
      <c r="F16" s="488"/>
      <c r="G16" s="488"/>
      <c r="H16" s="488"/>
      <c r="I16" s="488"/>
      <c r="J16" s="488"/>
      <c r="K16" s="489"/>
    </row>
    <row r="17" spans="1:11" x14ac:dyDescent="0.2">
      <c r="A17" s="487"/>
      <c r="B17" s="488"/>
      <c r="C17" s="488"/>
      <c r="D17" s="488"/>
      <c r="E17" s="488"/>
      <c r="F17" s="488"/>
      <c r="G17" s="488"/>
      <c r="H17" s="488"/>
      <c r="I17" s="488"/>
      <c r="J17" s="488"/>
      <c r="K17" s="489"/>
    </row>
    <row r="18" spans="1:11" x14ac:dyDescent="0.2">
      <c r="A18" s="268"/>
      <c r="B18" s="178" t="s">
        <v>228</v>
      </c>
      <c r="C18" s="269">
        <v>0.5</v>
      </c>
      <c r="D18"/>
      <c r="E18"/>
      <c r="F18"/>
      <c r="G18"/>
      <c r="H18"/>
      <c r="I18"/>
      <c r="J18"/>
      <c r="K18" s="270"/>
    </row>
    <row r="19" spans="1:11" x14ac:dyDescent="0.2">
      <c r="A19" s="268"/>
      <c r="B19"/>
      <c r="C19"/>
      <c r="D19"/>
      <c r="E19"/>
      <c r="F19"/>
      <c r="G19"/>
      <c r="H19"/>
      <c r="I19"/>
      <c r="J19"/>
      <c r="K19" s="270"/>
    </row>
    <row r="20" spans="1:11" ht="13.5" thickBot="1" x14ac:dyDescent="0.25"/>
    <row r="21" spans="1:11" ht="15.75" thickBot="1" x14ac:dyDescent="0.25">
      <c r="A21" s="268"/>
      <c r="B21" s="478" t="s">
        <v>352</v>
      </c>
      <c r="C21" s="479"/>
      <c r="D21" s="479"/>
      <c r="E21" s="479"/>
      <c r="F21" s="479"/>
      <c r="G21" s="479"/>
      <c r="H21" s="479"/>
      <c r="I21" s="480"/>
      <c r="J21"/>
      <c r="K21" s="270"/>
    </row>
    <row r="22" spans="1:11" ht="69.75" customHeight="1" x14ac:dyDescent="0.2">
      <c r="A22" s="268"/>
      <c r="B22" s="271" t="s">
        <v>229</v>
      </c>
      <c r="C22" s="272" t="s">
        <v>234</v>
      </c>
      <c r="D22" s="272" t="s">
        <v>235</v>
      </c>
      <c r="E22" s="272" t="s">
        <v>236</v>
      </c>
      <c r="F22" s="272" t="s">
        <v>230</v>
      </c>
      <c r="G22" s="272" t="s">
        <v>231</v>
      </c>
      <c r="H22" s="272" t="s">
        <v>232</v>
      </c>
      <c r="I22" s="273" t="s">
        <v>233</v>
      </c>
      <c r="J22"/>
      <c r="K22" s="270"/>
    </row>
    <row r="23" spans="1:11" ht="15" x14ac:dyDescent="0.2">
      <c r="A23" s="268"/>
      <c r="B23" s="274">
        <v>0</v>
      </c>
      <c r="C23" s="275">
        <v>5000000</v>
      </c>
      <c r="D23" s="275">
        <v>3</v>
      </c>
      <c r="E23" s="275">
        <v>450000000</v>
      </c>
      <c r="F23" s="275">
        <v>321958.06000000006</v>
      </c>
      <c r="G23" s="275">
        <f>E23/D23</f>
        <v>150000000</v>
      </c>
      <c r="H23" s="275">
        <f>F23/D23</f>
        <v>107319.35333333335</v>
      </c>
      <c r="I23" s="370">
        <f>+IFERROR(H23/G23,"")</f>
        <v>7.1546235555555563E-4</v>
      </c>
      <c r="J23"/>
      <c r="K23" s="270"/>
    </row>
    <row r="24" spans="1:11" ht="15" x14ac:dyDescent="0.2">
      <c r="A24" s="268"/>
      <c r="B24" s="274">
        <v>5000001</v>
      </c>
      <c r="C24" s="275">
        <v>20000000</v>
      </c>
      <c r="D24" s="275">
        <v>447</v>
      </c>
      <c r="E24" s="275">
        <v>104807153121.2934</v>
      </c>
      <c r="F24" s="275">
        <v>217981219.01999986</v>
      </c>
      <c r="G24" s="275">
        <f t="shared" ref="G24:G34" si="0">E24/D24</f>
        <v>234467904.07448187</v>
      </c>
      <c r="H24" s="275">
        <f t="shared" ref="H24:H34" si="1">F24/D24</f>
        <v>487653.73382550303</v>
      </c>
      <c r="I24" s="370">
        <f t="shared" ref="I24:I34" si="2">+IFERROR(H24/G24,"")</f>
        <v>2.0798315050856312E-3</v>
      </c>
      <c r="J24"/>
      <c r="K24" s="270"/>
    </row>
    <row r="25" spans="1:11" ht="15" x14ac:dyDescent="0.2">
      <c r="A25" s="268"/>
      <c r="B25" s="274">
        <v>20000001</v>
      </c>
      <c r="C25" s="275">
        <v>50000000</v>
      </c>
      <c r="D25" s="275">
        <v>425</v>
      </c>
      <c r="E25" s="275">
        <v>257944507484.38989</v>
      </c>
      <c r="F25" s="275">
        <v>274710046.17000031</v>
      </c>
      <c r="G25" s="275">
        <f t="shared" si="0"/>
        <v>606928252.90444684</v>
      </c>
      <c r="H25" s="275">
        <f t="shared" si="1"/>
        <v>646376.57922353013</v>
      </c>
      <c r="I25" s="370">
        <f t="shared" si="2"/>
        <v>1.064996688043939E-3</v>
      </c>
      <c r="J25"/>
      <c r="K25" s="270"/>
    </row>
    <row r="26" spans="1:11" ht="15" x14ac:dyDescent="0.2">
      <c r="A26" s="268"/>
      <c r="B26" s="274">
        <v>50000001</v>
      </c>
      <c r="C26" s="275">
        <v>100000000</v>
      </c>
      <c r="D26" s="275">
        <v>296</v>
      </c>
      <c r="E26" s="275">
        <v>344747244566.33344</v>
      </c>
      <c r="F26" s="275">
        <v>247957235.23000005</v>
      </c>
      <c r="G26" s="275">
        <f t="shared" si="0"/>
        <v>1164686637.0484238</v>
      </c>
      <c r="H26" s="275">
        <f t="shared" si="1"/>
        <v>837693.36226351373</v>
      </c>
      <c r="I26" s="370">
        <f t="shared" si="2"/>
        <v>7.1924355926879691E-4</v>
      </c>
      <c r="J26"/>
      <c r="K26" s="270"/>
    </row>
    <row r="27" spans="1:11" ht="15" x14ac:dyDescent="0.2">
      <c r="A27" s="268"/>
      <c r="B27" s="274">
        <v>100000001</v>
      </c>
      <c r="C27" s="275">
        <v>200000000</v>
      </c>
      <c r="D27" s="275">
        <v>330</v>
      </c>
      <c r="E27" s="275">
        <v>607710950128.80481</v>
      </c>
      <c r="F27" s="275">
        <v>439838611.79000002</v>
      </c>
      <c r="G27" s="275">
        <f t="shared" si="0"/>
        <v>1841548333.7236509</v>
      </c>
      <c r="H27" s="275">
        <f t="shared" si="1"/>
        <v>1332844.2781515152</v>
      </c>
      <c r="I27" s="370">
        <f t="shared" si="2"/>
        <v>7.2376285419371801E-4</v>
      </c>
      <c r="J27"/>
      <c r="K27" s="270"/>
    </row>
    <row r="28" spans="1:11" ht="15" x14ac:dyDescent="0.2">
      <c r="A28" s="268"/>
      <c r="B28" s="274">
        <v>200000001</v>
      </c>
      <c r="C28" s="275">
        <v>300000000</v>
      </c>
      <c r="D28" s="275">
        <v>205</v>
      </c>
      <c r="E28" s="275">
        <v>668451978262.53174</v>
      </c>
      <c r="F28" s="275">
        <v>297995386.42999995</v>
      </c>
      <c r="G28" s="275">
        <f t="shared" si="0"/>
        <v>3260741357.3782034</v>
      </c>
      <c r="H28" s="275">
        <f t="shared" si="1"/>
        <v>1453636.0313658535</v>
      </c>
      <c r="I28" s="370">
        <f t="shared" si="2"/>
        <v>4.4579924380590811E-4</v>
      </c>
      <c r="J28"/>
      <c r="K28" s="270"/>
    </row>
    <row r="29" spans="1:11" ht="15" x14ac:dyDescent="0.2">
      <c r="A29" s="268"/>
      <c r="B29" s="274">
        <v>300000001</v>
      </c>
      <c r="C29" s="275">
        <v>500000000</v>
      </c>
      <c r="D29" s="275">
        <v>211</v>
      </c>
      <c r="E29" s="275">
        <v>1128007333032.1116</v>
      </c>
      <c r="F29" s="275">
        <v>475236645.77000004</v>
      </c>
      <c r="G29" s="275">
        <f t="shared" si="0"/>
        <v>5346006317.6877327</v>
      </c>
      <c r="H29" s="275">
        <f t="shared" si="1"/>
        <v>2252306.3780568722</v>
      </c>
      <c r="I29" s="370">
        <f t="shared" si="2"/>
        <v>4.2130634425270282E-4</v>
      </c>
      <c r="J29"/>
      <c r="K29" s="270"/>
    </row>
    <row r="30" spans="1:11" ht="15" x14ac:dyDescent="0.2">
      <c r="A30" s="268"/>
      <c r="B30" s="274">
        <v>500000001</v>
      </c>
      <c r="C30" s="275">
        <v>1000000000</v>
      </c>
      <c r="D30" s="275">
        <v>302</v>
      </c>
      <c r="E30" s="275">
        <v>3352765256644.4248</v>
      </c>
      <c r="F30" s="275">
        <v>1320353665.1899981</v>
      </c>
      <c r="G30" s="275">
        <f t="shared" si="0"/>
        <v>11101871710.743128</v>
      </c>
      <c r="H30" s="275">
        <f t="shared" si="1"/>
        <v>4372032.0039403914</v>
      </c>
      <c r="I30" s="370">
        <f t="shared" si="2"/>
        <v>3.938103517904676E-4</v>
      </c>
      <c r="J30"/>
      <c r="K30" s="270"/>
    </row>
    <row r="31" spans="1:11" ht="15" x14ac:dyDescent="0.2">
      <c r="A31" s="268"/>
      <c r="B31" s="274">
        <v>1000000001</v>
      </c>
      <c r="C31" s="275">
        <v>5000000000</v>
      </c>
      <c r="D31" s="275">
        <v>161</v>
      </c>
      <c r="E31" s="275">
        <v>4341027694734.3091</v>
      </c>
      <c r="F31" s="275">
        <v>466423728.72000027</v>
      </c>
      <c r="G31" s="275">
        <f t="shared" si="0"/>
        <v>26962904936.237946</v>
      </c>
      <c r="H31" s="275">
        <f t="shared" si="1"/>
        <v>2897041.7932919273</v>
      </c>
      <c r="I31" s="370">
        <f t="shared" si="2"/>
        <v>1.0744546257693193E-4</v>
      </c>
      <c r="J31"/>
      <c r="K31" s="270"/>
    </row>
    <row r="32" spans="1:11" ht="15" x14ac:dyDescent="0.2">
      <c r="A32" s="268"/>
      <c r="B32" s="274">
        <v>5000000001</v>
      </c>
      <c r="C32" s="275">
        <v>10000000000</v>
      </c>
      <c r="D32" s="275">
        <v>11</v>
      </c>
      <c r="E32" s="275">
        <v>684839490890.53821</v>
      </c>
      <c r="F32" s="275">
        <v>84280393.969999999</v>
      </c>
      <c r="G32" s="275">
        <f t="shared" si="0"/>
        <v>62258135535.503471</v>
      </c>
      <c r="H32" s="275">
        <f t="shared" si="1"/>
        <v>7661853.9972727271</v>
      </c>
      <c r="I32" s="370">
        <f t="shared" si="2"/>
        <v>1.230659082764125E-4</v>
      </c>
      <c r="J32"/>
      <c r="K32" s="270"/>
    </row>
    <row r="33" spans="1:11" ht="15" x14ac:dyDescent="0.2">
      <c r="A33" s="268"/>
      <c r="B33" s="274">
        <v>10000000001</v>
      </c>
      <c r="C33" s="275">
        <v>15000000000</v>
      </c>
      <c r="D33" s="275">
        <v>9</v>
      </c>
      <c r="E33" s="275">
        <v>2461637012588.5181</v>
      </c>
      <c r="F33" s="275">
        <v>212817028.45000002</v>
      </c>
      <c r="G33" s="275">
        <f t="shared" si="0"/>
        <v>273515223620.94644</v>
      </c>
      <c r="H33" s="275">
        <f t="shared" si="1"/>
        <v>23646336.494444445</v>
      </c>
      <c r="I33" s="370">
        <f t="shared" si="2"/>
        <v>8.6453456525750587E-5</v>
      </c>
      <c r="J33"/>
      <c r="K33" s="270"/>
    </row>
    <row r="34" spans="1:11" ht="15.75" thickBot="1" x14ac:dyDescent="0.25">
      <c r="A34" s="268"/>
      <c r="B34" s="274">
        <f t="shared" ref="B34" si="3">+C33</f>
        <v>15000000000</v>
      </c>
      <c r="C34" s="275">
        <v>20000000000</v>
      </c>
      <c r="D34" s="275">
        <v>7</v>
      </c>
      <c r="E34" s="275">
        <v>4238434534286.5</v>
      </c>
      <c r="F34" s="275">
        <v>900350.10999929905</v>
      </c>
      <c r="G34" s="275">
        <f t="shared" si="0"/>
        <v>605490647755.21423</v>
      </c>
      <c r="H34" s="275">
        <f t="shared" si="1"/>
        <v>128621.44428561415</v>
      </c>
      <c r="I34" s="276">
        <f t="shared" si="2"/>
        <v>2.1242515431487359E-7</v>
      </c>
      <c r="J34"/>
      <c r="K34" s="270"/>
    </row>
    <row r="35" spans="1:11" ht="15.75" thickBot="1" x14ac:dyDescent="0.25">
      <c r="A35" s="268"/>
      <c r="B35" s="277" t="s">
        <v>167</v>
      </c>
      <c r="C35" s="278"/>
      <c r="D35" s="278">
        <f>SUM(D23:D34)</f>
        <v>2407</v>
      </c>
      <c r="E35" s="278">
        <f>SUM(E23:E34)</f>
        <v>18190823155739.758</v>
      </c>
      <c r="F35" s="278">
        <f>SUM(F23:F34)</f>
        <v>4038816268.9099975</v>
      </c>
      <c r="G35" s="278">
        <f>IF(E35=0,"",E35/$D35)</f>
        <v>7557467036.036459</v>
      </c>
      <c r="H35" s="278">
        <f t="shared" ref="H35" si="4">IF(F35=0,"",F35/$D35)</f>
        <v>1677946.1025799741</v>
      </c>
      <c r="I35" s="279">
        <f t="shared" ref="I35" si="5">IF(E35=0,"",F35/E35)</f>
        <v>2.2202493171045027E-4</v>
      </c>
      <c r="J35"/>
      <c r="K35" s="270"/>
    </row>
  </sheetData>
  <mergeCells count="11">
    <mergeCell ref="B21:I21"/>
    <mergeCell ref="B2:K2"/>
    <mergeCell ref="E5:F5"/>
    <mergeCell ref="E6:F6"/>
    <mergeCell ref="E7:F7"/>
    <mergeCell ref="E8:F8"/>
    <mergeCell ref="E9:F9"/>
    <mergeCell ref="E10:F10"/>
    <mergeCell ref="E11:F11"/>
    <mergeCell ref="E12:F12"/>
    <mergeCell ref="A15:K17"/>
  </mergeCells>
  <dataValidations count="2">
    <dataValidation type="list" allowBlank="1" showInputMessage="1" showErrorMessage="1" sqref="E10:F10" xr:uid="{471FE32C-78F9-48E8-8AA5-1B818DB6662A}">
      <formula1>INDIRECT(E9)</formula1>
    </dataValidation>
    <dataValidation type="list" allowBlank="1" showInputMessage="1" showErrorMessage="1" sqref="E11:F11" xr:uid="{6195BA25-F8A9-4C2E-B9BA-08E3055338DC}">
      <formula1>#REF!</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9" zoomScale="82" zoomScaleNormal="82" workbookViewId="0">
      <selection activeCell="J51" sqref="J51"/>
    </sheetView>
  </sheetViews>
  <sheetFormatPr defaultColWidth="11.42578125" defaultRowHeight="12.75" x14ac:dyDescent="0.2"/>
  <cols>
    <col min="1" max="1" width="2.85546875" style="115" customWidth="1"/>
    <col min="2" max="2" width="12.85546875" style="115" customWidth="1"/>
    <col min="3" max="3" width="15.85546875" style="115" customWidth="1"/>
    <col min="4" max="4" width="26.28515625" style="115" bestFit="1" customWidth="1"/>
    <col min="5" max="5" width="12.5703125" style="115" bestFit="1" customWidth="1"/>
    <col min="6" max="6" width="14.42578125" style="115" customWidth="1"/>
    <col min="7" max="8" width="19.140625" style="115" bestFit="1" customWidth="1"/>
    <col min="9" max="9" width="19.7109375" style="115" bestFit="1" customWidth="1"/>
    <col min="10" max="10" width="18.140625" style="115" bestFit="1" customWidth="1"/>
    <col min="11" max="11" width="16.28515625" style="115" bestFit="1" customWidth="1"/>
    <col min="12" max="13" width="18.140625" style="115" bestFit="1" customWidth="1"/>
    <col min="14" max="16" width="16.2851562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37" t="s">
        <v>122</v>
      </c>
      <c r="C2" s="438"/>
      <c r="D2" s="438"/>
      <c r="E2" s="438"/>
      <c r="F2" s="438"/>
      <c r="G2" s="438"/>
      <c r="H2" s="438"/>
      <c r="I2" s="438"/>
      <c r="J2" s="438"/>
      <c r="K2" s="438"/>
      <c r="L2" s="438"/>
      <c r="M2" s="438"/>
      <c r="N2" s="438"/>
      <c r="O2" s="439"/>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51" t="str">
        <f>Header!$D$4</f>
        <v>ZARAI REINSURANCE CORPORATION</v>
      </c>
      <c r="E5" s="452"/>
      <c r="F5" s="119"/>
      <c r="L5" s="113"/>
    </row>
    <row r="6" spans="1:16" s="114" customFormat="1" ht="14.45" customHeight="1" x14ac:dyDescent="0.2">
      <c r="C6" s="118" t="s">
        <v>3</v>
      </c>
      <c r="D6" s="451" t="str">
        <f>Header!$D$5</f>
        <v>Kenya</v>
      </c>
      <c r="E6" s="452"/>
      <c r="F6" s="119" t="s">
        <v>104</v>
      </c>
    </row>
    <row r="7" spans="1:16" s="114" customFormat="1" ht="14.45" customHeight="1" x14ac:dyDescent="0.2">
      <c r="C7" s="118" t="s">
        <v>4</v>
      </c>
      <c r="D7" s="451" t="str">
        <f>Header!$D$6</f>
        <v>KES</v>
      </c>
      <c r="E7" s="452"/>
      <c r="F7" s="119"/>
    </row>
    <row r="8" spans="1:16" s="114" customFormat="1" ht="14.45" customHeight="1" x14ac:dyDescent="0.2">
      <c r="C8" s="118" t="s">
        <v>105</v>
      </c>
      <c r="D8" s="451">
        <f>YEAR(Header!$D$11)</f>
        <v>2026</v>
      </c>
      <c r="E8" s="452"/>
      <c r="F8" s="119"/>
    </row>
    <row r="9" spans="1:16" s="114" customFormat="1" ht="14.45" customHeight="1" x14ac:dyDescent="0.2">
      <c r="C9" s="118" t="s">
        <v>11</v>
      </c>
      <c r="D9" s="451" t="str">
        <f>Header!$D$15</f>
        <v>Property</v>
      </c>
      <c r="E9" s="452"/>
      <c r="F9" s="119"/>
    </row>
    <row r="10" spans="1:16" s="114" customFormat="1" ht="14.45" customHeight="1" x14ac:dyDescent="0.2">
      <c r="C10" s="118" t="s">
        <v>106</v>
      </c>
      <c r="D10" s="431" t="s">
        <v>184</v>
      </c>
      <c r="E10" s="433"/>
      <c r="F10" s="119"/>
    </row>
    <row r="11" spans="1:16" s="114" customFormat="1" ht="14.45" customHeight="1" x14ac:dyDescent="0.2">
      <c r="C11" s="118" t="s">
        <v>123</v>
      </c>
      <c r="D11" s="490"/>
      <c r="E11" s="490"/>
      <c r="F11" s="119"/>
      <c r="M11" s="119">
        <v>50000000</v>
      </c>
    </row>
    <row r="12" spans="1:16" s="114" customFormat="1" ht="14.45" customHeight="1" thickBot="1" x14ac:dyDescent="0.25"/>
    <row r="13" spans="1:16" s="114" customFormat="1" ht="18.75" thickBot="1" x14ac:dyDescent="0.25">
      <c r="A13" s="115"/>
      <c r="B13"/>
      <c r="C13" s="491" t="s">
        <v>237</v>
      </c>
      <c r="D13" s="492"/>
      <c r="E13" s="492"/>
      <c r="F13" s="492"/>
      <c r="G13" s="492"/>
      <c r="H13" s="492"/>
      <c r="I13" s="492"/>
      <c r="J13" s="492"/>
      <c r="K13" s="492"/>
      <c r="L13" s="492"/>
      <c r="M13" s="492"/>
      <c r="N13" s="492"/>
      <c r="O13" s="492"/>
      <c r="P13" s="493"/>
    </row>
    <row r="14" spans="1:16" s="114" customFormat="1" ht="13.5" thickBot="1" x14ac:dyDescent="0.25">
      <c r="A14" s="115"/>
      <c r="B14" s="285"/>
      <c r="C14" s="286"/>
      <c r="D14" s="287"/>
      <c r="E14" s="288"/>
      <c r="F14" s="288"/>
      <c r="G14" s="287"/>
      <c r="H14" s="288"/>
      <c r="I14" s="288"/>
      <c r="J14" s="288"/>
      <c r="K14" s="494" t="s">
        <v>238</v>
      </c>
      <c r="L14" s="495"/>
      <c r="M14" s="495"/>
      <c r="N14" s="495"/>
      <c r="O14" s="495"/>
      <c r="P14" s="496"/>
    </row>
    <row r="15" spans="1:16" s="114" customFormat="1" ht="26.25"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412"/>
      <c r="K16" s="291"/>
      <c r="L16" s="291"/>
      <c r="M16" s="291"/>
      <c r="N16" s="291"/>
      <c r="O16" s="291"/>
      <c r="P16" s="291"/>
    </row>
    <row r="17" spans="1:16" s="356" customFormat="1" ht="15" x14ac:dyDescent="0.25">
      <c r="A17" s="115"/>
      <c r="B17" s="292">
        <v>1</v>
      </c>
      <c r="C17" s="409">
        <v>2025</v>
      </c>
      <c r="D17" s="395" t="s">
        <v>363</v>
      </c>
      <c r="E17" s="395" t="s">
        <v>364</v>
      </c>
      <c r="F17" s="395" t="s">
        <v>365</v>
      </c>
      <c r="G17" s="395">
        <v>2000000000</v>
      </c>
      <c r="H17" s="395">
        <v>1700000000</v>
      </c>
      <c r="I17" s="395">
        <v>1200000000</v>
      </c>
      <c r="J17" s="399">
        <f>H17-I17</f>
        <v>500000000</v>
      </c>
      <c r="K17" s="396">
        <v>255000000</v>
      </c>
      <c r="L17" s="395">
        <f>H17-K17</f>
        <v>1445000000</v>
      </c>
      <c r="M17" s="395">
        <f>1445000000-100000000</f>
        <v>1345000000</v>
      </c>
      <c r="N17" s="395">
        <v>0</v>
      </c>
      <c r="O17" s="395">
        <f>H17-K17-M17</f>
        <v>100000000</v>
      </c>
      <c r="P17" s="397">
        <v>50000000</v>
      </c>
    </row>
    <row r="18" spans="1:16" s="356" customFormat="1" ht="15" x14ac:dyDescent="0.25">
      <c r="A18" s="115"/>
      <c r="B18" s="293">
        <v>2</v>
      </c>
      <c r="C18" s="410">
        <v>2025</v>
      </c>
      <c r="D18" s="399" t="s">
        <v>375</v>
      </c>
      <c r="E18" s="399" t="s">
        <v>366</v>
      </c>
      <c r="F18" s="399" t="s">
        <v>365</v>
      </c>
      <c r="G18" s="399">
        <v>1230000000</v>
      </c>
      <c r="H18" s="399">
        <v>1200000000</v>
      </c>
      <c r="I18" s="399">
        <v>720000000</v>
      </c>
      <c r="J18" s="399">
        <f>H18-I18</f>
        <v>480000000</v>
      </c>
      <c r="K18" s="400">
        <f>H18*15%</f>
        <v>180000000</v>
      </c>
      <c r="L18" s="399">
        <f>H18-K18</f>
        <v>1020000000</v>
      </c>
      <c r="M18" s="399">
        <f>H18*85%-100000000</f>
        <v>920000000</v>
      </c>
      <c r="N18" s="399">
        <v>0</v>
      </c>
      <c r="O18" s="399">
        <f>H18-K18-M18</f>
        <v>100000000</v>
      </c>
      <c r="P18" s="399">
        <v>50000000</v>
      </c>
    </row>
    <row r="19" spans="1:16" s="356" customFormat="1" ht="15" x14ac:dyDescent="0.25">
      <c r="A19" s="115"/>
      <c r="B19" s="293">
        <v>3</v>
      </c>
      <c r="C19" s="410">
        <v>2025</v>
      </c>
      <c r="D19" s="399" t="s">
        <v>376</v>
      </c>
      <c r="E19" s="399" t="s">
        <v>367</v>
      </c>
      <c r="F19" s="399" t="s">
        <v>384</v>
      </c>
      <c r="G19" s="399">
        <v>120000000</v>
      </c>
      <c r="H19" s="399">
        <v>90000000</v>
      </c>
      <c r="I19" s="399">
        <v>90000000</v>
      </c>
      <c r="J19" s="399">
        <f>H19-I19</f>
        <v>0</v>
      </c>
      <c r="K19" s="400">
        <v>0</v>
      </c>
      <c r="L19" s="399">
        <f>I19</f>
        <v>90000000</v>
      </c>
      <c r="M19" s="399">
        <f>L19</f>
        <v>90000000</v>
      </c>
      <c r="N19" s="399">
        <v>0</v>
      </c>
      <c r="O19" s="399">
        <f>M19</f>
        <v>90000000</v>
      </c>
      <c r="P19" s="411">
        <f>O19-M11</f>
        <v>40000000</v>
      </c>
    </row>
    <row r="20" spans="1:16" s="356" customFormat="1" ht="15" x14ac:dyDescent="0.25">
      <c r="A20" s="115"/>
      <c r="B20" s="293">
        <v>4</v>
      </c>
      <c r="C20" s="410">
        <v>2025</v>
      </c>
      <c r="D20" s="399" t="s">
        <v>377</v>
      </c>
      <c r="E20" s="399" t="s">
        <v>368</v>
      </c>
      <c r="F20" s="399" t="s">
        <v>365</v>
      </c>
      <c r="G20" s="399">
        <v>120000000</v>
      </c>
      <c r="H20" s="399">
        <v>110000000</v>
      </c>
      <c r="I20" s="399">
        <v>110000000</v>
      </c>
      <c r="J20" s="399">
        <f t="shared" ref="J20:J26" si="0">H20-I20</f>
        <v>0</v>
      </c>
      <c r="K20" s="400">
        <v>0</v>
      </c>
      <c r="L20" s="399">
        <f>I20</f>
        <v>110000000</v>
      </c>
      <c r="M20" s="399">
        <f>I20-P20-M11</f>
        <v>10000000</v>
      </c>
      <c r="N20" s="399">
        <v>0</v>
      </c>
      <c r="O20" s="399">
        <f>H20-M20</f>
        <v>100000000</v>
      </c>
      <c r="P20" s="411">
        <f>50000000</f>
        <v>50000000</v>
      </c>
    </row>
    <row r="21" spans="1:16" s="356" customFormat="1" ht="15" x14ac:dyDescent="0.25">
      <c r="A21" s="115"/>
      <c r="B21" s="293">
        <v>5</v>
      </c>
      <c r="C21" s="410">
        <v>2025</v>
      </c>
      <c r="D21" s="399" t="s">
        <v>378</v>
      </c>
      <c r="E21" s="399" t="s">
        <v>369</v>
      </c>
      <c r="F21" s="399" t="s">
        <v>365</v>
      </c>
      <c r="G21" s="399">
        <v>2500000000</v>
      </c>
      <c r="H21" s="399">
        <f>G21*80%</f>
        <v>2000000000</v>
      </c>
      <c r="I21" s="399">
        <f>H21*95%</f>
        <v>1900000000</v>
      </c>
      <c r="J21" s="399">
        <f t="shared" si="0"/>
        <v>100000000</v>
      </c>
      <c r="K21" s="400">
        <v>400000000</v>
      </c>
      <c r="L21" s="399">
        <f>H21-K21</f>
        <v>1600000000</v>
      </c>
      <c r="M21" s="399">
        <v>1500000000</v>
      </c>
      <c r="N21" s="399">
        <v>0</v>
      </c>
      <c r="O21" s="399">
        <f>H21-K21-M21</f>
        <v>100000000</v>
      </c>
      <c r="P21" s="411">
        <v>50000000</v>
      </c>
    </row>
    <row r="22" spans="1:16" s="356" customFormat="1" ht="15" x14ac:dyDescent="0.25">
      <c r="A22" s="115"/>
      <c r="B22" s="293">
        <v>6</v>
      </c>
      <c r="C22" s="410">
        <v>2025</v>
      </c>
      <c r="D22" s="399" t="s">
        <v>379</v>
      </c>
      <c r="E22" s="399" t="s">
        <v>370</v>
      </c>
      <c r="F22" s="399" t="s">
        <v>365</v>
      </c>
      <c r="G22" s="399">
        <v>1000000000</v>
      </c>
      <c r="H22" s="399">
        <f t="shared" ref="H22:H26" si="1">G22*80%</f>
        <v>800000000</v>
      </c>
      <c r="I22" s="399">
        <f t="shared" ref="I22:I26" si="2">H22*95%</f>
        <v>760000000</v>
      </c>
      <c r="J22" s="399">
        <f t="shared" si="0"/>
        <v>40000000</v>
      </c>
      <c r="K22" s="400">
        <v>160000000</v>
      </c>
      <c r="L22" s="399">
        <f>H22-K22</f>
        <v>640000000</v>
      </c>
      <c r="M22" s="399">
        <f>540000000</f>
        <v>540000000</v>
      </c>
      <c r="N22" s="399">
        <v>0</v>
      </c>
      <c r="O22" s="399">
        <f>H22-K22-M22</f>
        <v>100000000</v>
      </c>
      <c r="P22" s="411">
        <v>50000000</v>
      </c>
    </row>
    <row r="23" spans="1:16" s="356" customFormat="1" ht="15" x14ac:dyDescent="0.25">
      <c r="A23" s="115"/>
      <c r="B23" s="293">
        <v>7</v>
      </c>
      <c r="C23" s="410">
        <v>2025</v>
      </c>
      <c r="D23" s="399" t="s">
        <v>380</v>
      </c>
      <c r="E23" s="399" t="s">
        <v>371</v>
      </c>
      <c r="F23" s="399" t="s">
        <v>385</v>
      </c>
      <c r="G23" s="399">
        <v>2800000000</v>
      </c>
      <c r="H23" s="399">
        <f t="shared" si="1"/>
        <v>2240000000</v>
      </c>
      <c r="I23" s="399">
        <f t="shared" si="2"/>
        <v>2128000000</v>
      </c>
      <c r="J23" s="399">
        <f t="shared" si="0"/>
        <v>112000000</v>
      </c>
      <c r="K23" s="400">
        <v>448000000</v>
      </c>
      <c r="L23" s="399">
        <f>H23-K23</f>
        <v>1792000000</v>
      </c>
      <c r="M23" s="399">
        <v>1692000000</v>
      </c>
      <c r="N23" s="399">
        <v>0</v>
      </c>
      <c r="O23" s="399">
        <f>H23-K23-M23</f>
        <v>100000000</v>
      </c>
      <c r="P23" s="411">
        <v>50000000</v>
      </c>
    </row>
    <row r="24" spans="1:16" s="356" customFormat="1" ht="15" x14ac:dyDescent="0.25">
      <c r="A24" s="115"/>
      <c r="B24" s="293">
        <v>8</v>
      </c>
      <c r="C24" s="410">
        <v>2025</v>
      </c>
      <c r="D24" s="399" t="s">
        <v>381</v>
      </c>
      <c r="E24" s="399" t="s">
        <v>372</v>
      </c>
      <c r="F24" s="399" t="s">
        <v>365</v>
      </c>
      <c r="G24" s="399">
        <v>1300000000</v>
      </c>
      <c r="H24" s="399">
        <f t="shared" si="1"/>
        <v>1040000000</v>
      </c>
      <c r="I24" s="399">
        <f t="shared" si="2"/>
        <v>988000000</v>
      </c>
      <c r="J24" s="399">
        <f t="shared" si="0"/>
        <v>52000000</v>
      </c>
      <c r="K24" s="400">
        <v>208000000</v>
      </c>
      <c r="L24" s="399">
        <f>H24-K24</f>
        <v>832000000</v>
      </c>
      <c r="M24" s="399">
        <v>732000000</v>
      </c>
      <c r="N24" s="399">
        <v>0</v>
      </c>
      <c r="O24" s="399">
        <f>H24-K24-M24</f>
        <v>100000000</v>
      </c>
      <c r="P24" s="411">
        <v>50000000</v>
      </c>
    </row>
    <row r="25" spans="1:16" s="356" customFormat="1" ht="15" x14ac:dyDescent="0.25">
      <c r="A25" s="115"/>
      <c r="B25" s="293">
        <v>9</v>
      </c>
      <c r="C25" s="410">
        <v>2025</v>
      </c>
      <c r="D25" s="399" t="s">
        <v>382</v>
      </c>
      <c r="E25" s="399" t="s">
        <v>373</v>
      </c>
      <c r="F25" s="399" t="s">
        <v>384</v>
      </c>
      <c r="G25" s="399">
        <v>230000000</v>
      </c>
      <c r="H25" s="399">
        <f t="shared" si="1"/>
        <v>184000000</v>
      </c>
      <c r="I25" s="399">
        <f t="shared" si="2"/>
        <v>174800000</v>
      </c>
      <c r="J25" s="399">
        <f t="shared" si="0"/>
        <v>9200000</v>
      </c>
      <c r="K25" s="400">
        <v>0</v>
      </c>
      <c r="L25" s="399">
        <f>H25</f>
        <v>184000000</v>
      </c>
      <c r="M25" s="399">
        <f>L25-M11-P25</f>
        <v>84000000</v>
      </c>
      <c r="N25" s="399">
        <v>0</v>
      </c>
      <c r="O25" s="399">
        <f>H25-M25</f>
        <v>100000000</v>
      </c>
      <c r="P25" s="411">
        <v>50000000</v>
      </c>
    </row>
    <row r="26" spans="1:16" s="356" customFormat="1" ht="15" x14ac:dyDescent="0.25">
      <c r="A26" s="115"/>
      <c r="B26" s="293">
        <v>10</v>
      </c>
      <c r="C26" s="410">
        <v>2025</v>
      </c>
      <c r="D26" s="399" t="s">
        <v>383</v>
      </c>
      <c r="E26" s="399" t="s">
        <v>374</v>
      </c>
      <c r="F26" s="399" t="s">
        <v>365</v>
      </c>
      <c r="G26" s="399">
        <v>1230000000</v>
      </c>
      <c r="H26" s="399">
        <f t="shared" si="1"/>
        <v>984000000</v>
      </c>
      <c r="I26" s="399">
        <f t="shared" si="2"/>
        <v>934800000</v>
      </c>
      <c r="J26" s="399">
        <f t="shared" si="0"/>
        <v>49200000</v>
      </c>
      <c r="K26" s="400">
        <v>196800000</v>
      </c>
      <c r="L26" s="399">
        <f>H26-K26</f>
        <v>787200000</v>
      </c>
      <c r="M26" s="399">
        <v>687200000</v>
      </c>
      <c r="N26" s="399">
        <v>0</v>
      </c>
      <c r="O26" s="399">
        <f>H26-K26-M26</f>
        <v>100000000</v>
      </c>
      <c r="P26" s="411">
        <v>50000000</v>
      </c>
    </row>
    <row r="27" spans="1:16" s="356" customFormat="1" ht="15" x14ac:dyDescent="0.25">
      <c r="A27" s="115"/>
      <c r="B27" s="293"/>
      <c r="C27" s="398"/>
      <c r="D27" s="399"/>
      <c r="E27" s="399"/>
      <c r="F27" s="399"/>
      <c r="G27" s="399"/>
      <c r="H27" s="399"/>
      <c r="I27" s="399"/>
      <c r="J27" s="399"/>
      <c r="K27" s="400"/>
      <c r="L27" s="399"/>
      <c r="M27" s="399"/>
      <c r="N27" s="399"/>
      <c r="O27" s="399"/>
      <c r="P27" s="401"/>
    </row>
    <row r="28" spans="1:16" s="356" customFormat="1" ht="15" x14ac:dyDescent="0.25">
      <c r="A28" s="115"/>
      <c r="B28" s="293"/>
      <c r="C28" s="398"/>
      <c r="D28" s="399"/>
      <c r="E28" s="399"/>
      <c r="F28" s="399"/>
      <c r="G28" s="399"/>
      <c r="H28" s="399"/>
      <c r="I28" s="399"/>
      <c r="J28" s="399"/>
      <c r="K28" s="400"/>
      <c r="L28" s="399"/>
      <c r="M28" s="399"/>
      <c r="N28" s="399"/>
      <c r="O28" s="399"/>
      <c r="P28" s="401"/>
    </row>
    <row r="29" spans="1:16" s="356" customFormat="1" ht="15" x14ac:dyDescent="0.25">
      <c r="A29" s="115"/>
      <c r="B29" s="293"/>
      <c r="C29" s="398"/>
      <c r="D29" s="399"/>
      <c r="E29" s="399"/>
      <c r="F29" s="399"/>
      <c r="G29" s="399"/>
      <c r="H29" s="399"/>
      <c r="I29" s="399"/>
      <c r="J29" s="399"/>
      <c r="K29" s="400"/>
      <c r="L29" s="399"/>
      <c r="M29" s="399"/>
      <c r="N29" s="399"/>
      <c r="O29" s="399"/>
      <c r="P29" s="401"/>
    </row>
    <row r="30" spans="1:16" s="356" customFormat="1" ht="15" x14ac:dyDescent="0.25">
      <c r="A30" s="115"/>
      <c r="B30" s="293"/>
      <c r="C30" s="398"/>
      <c r="D30" s="399"/>
      <c r="E30" s="399"/>
      <c r="F30" s="399"/>
      <c r="G30" s="399"/>
      <c r="H30" s="399"/>
      <c r="I30" s="399"/>
      <c r="J30" s="399"/>
      <c r="K30" s="400"/>
      <c r="L30" s="399"/>
      <c r="M30" s="399"/>
      <c r="N30" s="399"/>
      <c r="O30" s="399"/>
      <c r="P30" s="401"/>
    </row>
    <row r="31" spans="1:16" s="356" customFormat="1" ht="15" x14ac:dyDescent="0.25">
      <c r="A31" s="115"/>
      <c r="B31" s="293"/>
      <c r="C31" s="398"/>
      <c r="D31" s="399"/>
      <c r="E31" s="399"/>
      <c r="F31" s="399"/>
      <c r="G31" s="399"/>
      <c r="H31" s="399"/>
      <c r="I31" s="399"/>
      <c r="J31" s="399"/>
      <c r="K31" s="400"/>
      <c r="L31" s="399"/>
      <c r="M31" s="399"/>
      <c r="N31" s="399"/>
      <c r="O31" s="399"/>
      <c r="P31" s="401"/>
    </row>
    <row r="32" spans="1:16" s="356" customFormat="1" ht="15.75" thickBot="1" x14ac:dyDescent="0.3">
      <c r="A32" s="115"/>
      <c r="B32" s="296"/>
      <c r="C32" s="402"/>
      <c r="D32" s="403"/>
      <c r="E32" s="403"/>
      <c r="F32" s="403"/>
      <c r="G32" s="403"/>
      <c r="H32" s="404"/>
      <c r="I32" s="404"/>
      <c r="J32" s="404"/>
      <c r="K32" s="402"/>
      <c r="L32" s="404"/>
      <c r="M32" s="404"/>
      <c r="N32" s="404"/>
      <c r="O32" s="404"/>
      <c r="P32" s="405"/>
    </row>
    <row r="33" spans="1:16" s="356" customFormat="1" ht="15.75" thickBot="1" x14ac:dyDescent="0.25">
      <c r="A33" s="115"/>
      <c r="B33" s="299"/>
      <c r="C33" s="406" t="s">
        <v>216</v>
      </c>
      <c r="D33" s="407"/>
      <c r="E33" s="407"/>
      <c r="F33" s="407"/>
      <c r="G33" s="408">
        <f t="shared" ref="G33:P33" si="3">SUM(G17:G31)</f>
        <v>12530000000</v>
      </c>
      <c r="H33" s="408">
        <f t="shared" si="3"/>
        <v>10348000000</v>
      </c>
      <c r="I33" s="408">
        <f t="shared" si="3"/>
        <v>9005600000</v>
      </c>
      <c r="J33" s="408">
        <f t="shared" si="3"/>
        <v>1342400000</v>
      </c>
      <c r="K33" s="408">
        <f t="shared" si="3"/>
        <v>1847800000</v>
      </c>
      <c r="L33" s="408"/>
      <c r="M33" s="408"/>
      <c r="N33" s="408">
        <f t="shared" si="3"/>
        <v>0</v>
      </c>
      <c r="O33" s="408"/>
      <c r="P33" s="408">
        <f t="shared" si="3"/>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466"/>
      <c r="C49" s="466"/>
      <c r="D49" s="466"/>
      <c r="E49" s="466"/>
      <c r="F49" s="115"/>
      <c r="G49" s="115"/>
      <c r="H49" s="115"/>
      <c r="I49" s="115"/>
      <c r="J49" s="115"/>
      <c r="K49" s="115"/>
      <c r="L49" s="115"/>
    </row>
    <row r="50" spans="1:12" ht="13.35" customHeight="1" x14ac:dyDescent="0.2">
      <c r="B50" s="466"/>
      <c r="C50" s="466"/>
      <c r="D50" s="466"/>
      <c r="E50" s="466"/>
    </row>
    <row r="51" spans="1:12" ht="13.35" customHeight="1" x14ac:dyDescent="0.2">
      <c r="B51" s="466"/>
      <c r="C51" s="466"/>
      <c r="D51" s="466"/>
      <c r="E51" s="466"/>
    </row>
  </sheetData>
  <mergeCells count="11">
    <mergeCell ref="B2:O2"/>
    <mergeCell ref="D5:E5"/>
    <mergeCell ref="D8:E8"/>
    <mergeCell ref="B49:E51"/>
    <mergeCell ref="D11:E11"/>
    <mergeCell ref="D10:E10"/>
    <mergeCell ref="D7:E7"/>
    <mergeCell ref="D6:E6"/>
    <mergeCell ref="D9:E9"/>
    <mergeCell ref="C13:P13"/>
    <mergeCell ref="K14:P14"/>
  </mergeCells>
  <phoneticPr fontId="17" type="noConversion"/>
  <dataValidations count="1">
    <dataValidation type="list" allowBlank="1" showInputMessage="1" showErrorMessage="1" sqref="D10:E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G11" zoomScaleNormal="100" workbookViewId="0">
      <selection activeCell="N27" sqref="N27"/>
    </sheetView>
  </sheetViews>
  <sheetFormatPr defaultColWidth="11.42578125" defaultRowHeight="12.75" x14ac:dyDescent="0.2"/>
  <cols>
    <col min="1" max="1" width="2.85546875" style="115" customWidth="1"/>
    <col min="2" max="2" width="12.85546875" style="115" customWidth="1"/>
    <col min="3" max="3" width="21.7109375" style="115" bestFit="1" customWidth="1"/>
    <col min="4" max="4" width="19.85546875" style="115" customWidth="1"/>
    <col min="5" max="5" width="12.5703125" style="115" bestFit="1" customWidth="1"/>
    <col min="6" max="6" width="14.42578125" style="115" customWidth="1"/>
    <col min="7" max="9" width="17.5703125" style="115" bestFit="1" customWidth="1"/>
    <col min="10" max="11" width="15.85546875" style="115" bestFit="1" customWidth="1"/>
    <col min="12" max="13" width="17.5703125" style="115" bestFit="1" customWidth="1"/>
    <col min="14" max="14" width="14.42578125" style="115" customWidth="1"/>
    <col min="15" max="15" width="15.85546875" style="115" bestFit="1" customWidth="1"/>
    <col min="16" max="16" width="14.710937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37" t="s">
        <v>255</v>
      </c>
      <c r="C2" s="438"/>
      <c r="D2" s="438"/>
      <c r="E2" s="438"/>
      <c r="F2" s="438"/>
      <c r="G2" s="438"/>
      <c r="H2" s="438"/>
      <c r="I2" s="438"/>
      <c r="J2" s="438"/>
      <c r="K2" s="438"/>
      <c r="L2" s="438"/>
      <c r="M2" s="438"/>
      <c r="N2" s="438"/>
      <c r="O2" s="439"/>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51" t="str">
        <f>Header!$D$4</f>
        <v>ZARAI REINSURANCE CORPORATION</v>
      </c>
      <c r="E5" s="452"/>
      <c r="F5" s="119"/>
      <c r="L5" s="113"/>
    </row>
    <row r="6" spans="1:16" s="114" customFormat="1" ht="14.45" customHeight="1" x14ac:dyDescent="0.2">
      <c r="C6" s="118" t="s">
        <v>3</v>
      </c>
      <c r="D6" s="451" t="str">
        <f>Header!$D$5</f>
        <v>Kenya</v>
      </c>
      <c r="E6" s="452"/>
      <c r="F6" s="119" t="s">
        <v>104</v>
      </c>
    </row>
    <row r="7" spans="1:16" s="114" customFormat="1" ht="14.45" customHeight="1" x14ac:dyDescent="0.2">
      <c r="C7" s="118" t="s">
        <v>4</v>
      </c>
      <c r="D7" s="451" t="str">
        <f>Header!$D$6</f>
        <v>KES</v>
      </c>
      <c r="E7" s="452"/>
      <c r="F7" s="119"/>
    </row>
    <row r="8" spans="1:16" s="114" customFormat="1" ht="14.45" customHeight="1" x14ac:dyDescent="0.2">
      <c r="C8" s="118" t="s">
        <v>105</v>
      </c>
      <c r="D8" s="451">
        <f>YEAR(Header!$D$11)</f>
        <v>2026</v>
      </c>
      <c r="E8" s="452"/>
      <c r="F8" s="119"/>
    </row>
    <row r="9" spans="1:16" s="114" customFormat="1" ht="14.45" customHeight="1" x14ac:dyDescent="0.2">
      <c r="C9" s="118" t="s">
        <v>11</v>
      </c>
      <c r="D9" s="451" t="str">
        <f>Header!$D$15</f>
        <v>Property</v>
      </c>
      <c r="E9" s="452"/>
      <c r="F9" s="119"/>
    </row>
    <row r="10" spans="1:16" s="114" customFormat="1" ht="14.45" customHeight="1" x14ac:dyDescent="0.2">
      <c r="C10" s="118" t="s">
        <v>106</v>
      </c>
      <c r="D10" s="431"/>
      <c r="E10" s="433"/>
      <c r="F10" s="119"/>
    </row>
    <row r="11" spans="1:16" s="114" customFormat="1" ht="14.45" customHeight="1" x14ac:dyDescent="0.2">
      <c r="C11" s="118" t="s">
        <v>123</v>
      </c>
      <c r="D11" s="490"/>
      <c r="E11" s="490"/>
      <c r="F11" s="119"/>
    </row>
    <row r="12" spans="1:16" s="114" customFormat="1" ht="14.45" customHeight="1" thickBot="1" x14ac:dyDescent="0.25"/>
    <row r="13" spans="1:16" s="114" customFormat="1" ht="18.75" thickBot="1" x14ac:dyDescent="0.25">
      <c r="A13" s="115"/>
      <c r="B13"/>
      <c r="C13" s="491" t="s">
        <v>237</v>
      </c>
      <c r="D13" s="492"/>
      <c r="E13" s="492"/>
      <c r="F13" s="492"/>
      <c r="G13" s="492"/>
      <c r="H13" s="492"/>
      <c r="I13" s="492"/>
      <c r="J13" s="492"/>
      <c r="K13" s="492"/>
      <c r="L13" s="492"/>
      <c r="M13" s="492"/>
      <c r="N13" s="492"/>
      <c r="O13" s="492"/>
      <c r="P13" s="493"/>
    </row>
    <row r="14" spans="1:16" s="114" customFormat="1" ht="13.5" thickBot="1" x14ac:dyDescent="0.25">
      <c r="A14" s="115"/>
      <c r="B14" s="285"/>
      <c r="C14" s="286"/>
      <c r="D14" s="287"/>
      <c r="E14" s="288"/>
      <c r="F14" s="288"/>
      <c r="G14" s="287"/>
      <c r="H14" s="288"/>
      <c r="I14" s="288"/>
      <c r="J14" s="288"/>
      <c r="K14" s="494" t="s">
        <v>238</v>
      </c>
      <c r="L14" s="495"/>
      <c r="M14" s="495"/>
      <c r="N14" s="495"/>
      <c r="O14" s="495"/>
      <c r="P14" s="496"/>
    </row>
    <row r="15" spans="1:16" s="114" customFormat="1" ht="39"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291"/>
      <c r="K16" s="289"/>
      <c r="L16" s="291"/>
      <c r="M16" s="291"/>
      <c r="N16" s="291"/>
      <c r="O16" s="291"/>
      <c r="P16" s="291"/>
    </row>
    <row r="17" spans="1:16" s="356" customFormat="1" ht="14.25" x14ac:dyDescent="0.2">
      <c r="A17" s="354"/>
      <c r="B17" s="418">
        <v>1</v>
      </c>
      <c r="C17" s="419">
        <v>2025</v>
      </c>
      <c r="D17" s="420" t="s">
        <v>363</v>
      </c>
      <c r="E17" s="420" t="s">
        <v>364</v>
      </c>
      <c r="F17" s="420" t="s">
        <v>365</v>
      </c>
      <c r="G17" s="420">
        <v>2000000000</v>
      </c>
      <c r="H17" s="420">
        <v>1700000000</v>
      </c>
      <c r="I17" s="420">
        <v>1200000000</v>
      </c>
      <c r="J17" s="420">
        <v>500000000</v>
      </c>
      <c r="K17" s="418">
        <v>255000000</v>
      </c>
      <c r="L17" s="420">
        <v>1445000000</v>
      </c>
      <c r="M17" s="420">
        <v>1345000000</v>
      </c>
      <c r="N17" s="420">
        <v>0</v>
      </c>
      <c r="O17" s="420">
        <v>100000000</v>
      </c>
      <c r="P17" s="421">
        <v>50000000</v>
      </c>
    </row>
    <row r="18" spans="1:16" s="114" customFormat="1" ht="14.25" x14ac:dyDescent="0.2">
      <c r="A18" s="115"/>
      <c r="B18" s="413">
        <v>2</v>
      </c>
      <c r="C18" s="414">
        <v>2025</v>
      </c>
      <c r="D18" s="415" t="s">
        <v>375</v>
      </c>
      <c r="E18" s="415" t="s">
        <v>366</v>
      </c>
      <c r="F18" s="415" t="s">
        <v>365</v>
      </c>
      <c r="G18" s="415">
        <v>1230000000</v>
      </c>
      <c r="H18" s="415">
        <v>1200000000</v>
      </c>
      <c r="I18" s="415">
        <v>720000000</v>
      </c>
      <c r="J18" s="415">
        <v>480000000</v>
      </c>
      <c r="K18" s="416">
        <v>180000000</v>
      </c>
      <c r="L18" s="415">
        <v>1020000000</v>
      </c>
      <c r="M18" s="415">
        <v>920000000</v>
      </c>
      <c r="N18" s="415">
        <v>0</v>
      </c>
      <c r="O18" s="415">
        <v>100000000</v>
      </c>
      <c r="P18" s="417">
        <v>50000000</v>
      </c>
    </row>
    <row r="19" spans="1:16" s="114" customFormat="1" ht="14.25" x14ac:dyDescent="0.2">
      <c r="A19" s="115"/>
      <c r="B19" s="413">
        <v>3</v>
      </c>
      <c r="C19" s="414">
        <v>2025</v>
      </c>
      <c r="D19" s="415" t="s">
        <v>376</v>
      </c>
      <c r="E19" s="415" t="s">
        <v>367</v>
      </c>
      <c r="F19" s="415" t="s">
        <v>384</v>
      </c>
      <c r="G19" s="415">
        <v>120000000</v>
      </c>
      <c r="H19" s="415">
        <v>90000000</v>
      </c>
      <c r="I19" s="415">
        <v>90000000</v>
      </c>
      <c r="J19" s="415">
        <v>0</v>
      </c>
      <c r="K19" s="416">
        <v>0</v>
      </c>
      <c r="L19" s="415">
        <v>90000000</v>
      </c>
      <c r="M19" s="415">
        <v>90000000</v>
      </c>
      <c r="N19" s="415">
        <v>0</v>
      </c>
      <c r="O19" s="415">
        <v>90000000</v>
      </c>
      <c r="P19" s="417">
        <v>40000000</v>
      </c>
    </row>
    <row r="20" spans="1:16" s="114" customFormat="1" ht="14.25" x14ac:dyDescent="0.2">
      <c r="A20" s="115"/>
      <c r="B20" s="413">
        <v>4</v>
      </c>
      <c r="C20" s="414">
        <v>2025</v>
      </c>
      <c r="D20" s="415" t="s">
        <v>377</v>
      </c>
      <c r="E20" s="415" t="s">
        <v>368</v>
      </c>
      <c r="F20" s="415" t="s">
        <v>365</v>
      </c>
      <c r="G20" s="415">
        <v>120000000</v>
      </c>
      <c r="H20" s="415">
        <v>110000000</v>
      </c>
      <c r="I20" s="415">
        <v>110000000</v>
      </c>
      <c r="J20" s="415">
        <v>0</v>
      </c>
      <c r="K20" s="416">
        <v>0</v>
      </c>
      <c r="L20" s="415">
        <v>110000000</v>
      </c>
      <c r="M20" s="415">
        <v>10000000</v>
      </c>
      <c r="N20" s="415">
        <v>0</v>
      </c>
      <c r="O20" s="415">
        <v>100000000</v>
      </c>
      <c r="P20" s="417">
        <v>50000000</v>
      </c>
    </row>
    <row r="21" spans="1:16" s="114" customFormat="1" ht="14.25" x14ac:dyDescent="0.2">
      <c r="A21" s="115"/>
      <c r="B21" s="413">
        <v>5</v>
      </c>
      <c r="C21" s="414">
        <v>2025</v>
      </c>
      <c r="D21" s="415" t="s">
        <v>378</v>
      </c>
      <c r="E21" s="415" t="s">
        <v>369</v>
      </c>
      <c r="F21" s="415" t="s">
        <v>365</v>
      </c>
      <c r="G21" s="415">
        <v>2500000000</v>
      </c>
      <c r="H21" s="415">
        <v>2000000000</v>
      </c>
      <c r="I21" s="415">
        <v>1900000000</v>
      </c>
      <c r="J21" s="415">
        <v>100000000</v>
      </c>
      <c r="K21" s="416">
        <v>400000000</v>
      </c>
      <c r="L21" s="415">
        <v>1600000000</v>
      </c>
      <c r="M21" s="415">
        <v>1500000000</v>
      </c>
      <c r="N21" s="415">
        <v>0</v>
      </c>
      <c r="O21" s="415">
        <v>100000000</v>
      </c>
      <c r="P21" s="417">
        <v>50000000</v>
      </c>
    </row>
    <row r="22" spans="1:16" s="114" customFormat="1" ht="14.25" x14ac:dyDescent="0.2">
      <c r="A22" s="115"/>
      <c r="B22" s="413">
        <v>6</v>
      </c>
      <c r="C22" s="414">
        <v>2025</v>
      </c>
      <c r="D22" s="415" t="s">
        <v>379</v>
      </c>
      <c r="E22" s="415" t="s">
        <v>370</v>
      </c>
      <c r="F22" s="415" t="s">
        <v>365</v>
      </c>
      <c r="G22" s="415">
        <v>1000000000</v>
      </c>
      <c r="H22" s="415">
        <v>800000000</v>
      </c>
      <c r="I22" s="415">
        <v>760000000</v>
      </c>
      <c r="J22" s="415">
        <v>40000000</v>
      </c>
      <c r="K22" s="416">
        <v>160000000</v>
      </c>
      <c r="L22" s="415">
        <v>640000000</v>
      </c>
      <c r="M22" s="415">
        <v>540000000</v>
      </c>
      <c r="N22" s="415">
        <v>0</v>
      </c>
      <c r="O22" s="415">
        <v>100000000</v>
      </c>
      <c r="P22" s="417">
        <v>50000000</v>
      </c>
    </row>
    <row r="23" spans="1:16" s="114" customFormat="1" ht="14.25" x14ac:dyDescent="0.2">
      <c r="A23" s="115"/>
      <c r="B23" s="413">
        <v>7</v>
      </c>
      <c r="C23" s="414">
        <v>2025</v>
      </c>
      <c r="D23" s="415" t="s">
        <v>380</v>
      </c>
      <c r="E23" s="415" t="s">
        <v>371</v>
      </c>
      <c r="F23" s="415" t="s">
        <v>385</v>
      </c>
      <c r="G23" s="415">
        <v>2800000000</v>
      </c>
      <c r="H23" s="415">
        <v>2240000000</v>
      </c>
      <c r="I23" s="415">
        <v>2128000000</v>
      </c>
      <c r="J23" s="415">
        <v>112000000</v>
      </c>
      <c r="K23" s="416">
        <v>448000000</v>
      </c>
      <c r="L23" s="415">
        <v>1792000000</v>
      </c>
      <c r="M23" s="415">
        <v>1692000000</v>
      </c>
      <c r="N23" s="415">
        <v>0</v>
      </c>
      <c r="O23" s="415">
        <v>100000000</v>
      </c>
      <c r="P23" s="417">
        <v>50000000</v>
      </c>
    </row>
    <row r="24" spans="1:16" s="114" customFormat="1" ht="14.25" x14ac:dyDescent="0.2">
      <c r="A24" s="115"/>
      <c r="B24" s="413">
        <v>8</v>
      </c>
      <c r="C24" s="414">
        <v>2025</v>
      </c>
      <c r="D24" s="415" t="s">
        <v>381</v>
      </c>
      <c r="E24" s="415" t="s">
        <v>372</v>
      </c>
      <c r="F24" s="415" t="s">
        <v>365</v>
      </c>
      <c r="G24" s="415">
        <v>1300000000</v>
      </c>
      <c r="H24" s="415">
        <v>1040000000</v>
      </c>
      <c r="I24" s="415">
        <v>988000000</v>
      </c>
      <c r="J24" s="415">
        <v>52000000</v>
      </c>
      <c r="K24" s="416">
        <v>208000000</v>
      </c>
      <c r="L24" s="415">
        <v>832000000</v>
      </c>
      <c r="M24" s="415">
        <v>732000000</v>
      </c>
      <c r="N24" s="415">
        <v>0</v>
      </c>
      <c r="O24" s="415">
        <v>100000000</v>
      </c>
      <c r="P24" s="417">
        <v>50000000</v>
      </c>
    </row>
    <row r="25" spans="1:16" s="114" customFormat="1" ht="14.25" x14ac:dyDescent="0.2">
      <c r="A25" s="115"/>
      <c r="B25" s="413">
        <v>9</v>
      </c>
      <c r="C25" s="414">
        <v>2025</v>
      </c>
      <c r="D25" s="415" t="s">
        <v>382</v>
      </c>
      <c r="E25" s="415" t="s">
        <v>373</v>
      </c>
      <c r="F25" s="415" t="s">
        <v>384</v>
      </c>
      <c r="G25" s="415">
        <v>230000000</v>
      </c>
      <c r="H25" s="415">
        <v>184000000</v>
      </c>
      <c r="I25" s="415">
        <v>174800000</v>
      </c>
      <c r="J25" s="415">
        <v>9200000</v>
      </c>
      <c r="K25" s="416">
        <v>0</v>
      </c>
      <c r="L25" s="415">
        <v>184000000</v>
      </c>
      <c r="M25" s="415">
        <v>84000000</v>
      </c>
      <c r="N25" s="415">
        <v>0</v>
      </c>
      <c r="O25" s="415">
        <v>100000000</v>
      </c>
      <c r="P25" s="417">
        <v>50000000</v>
      </c>
    </row>
    <row r="26" spans="1:16" s="114" customFormat="1" ht="14.25" x14ac:dyDescent="0.2">
      <c r="A26" s="115"/>
      <c r="B26" s="413">
        <v>10</v>
      </c>
      <c r="C26" s="414">
        <v>2025</v>
      </c>
      <c r="D26" s="415" t="s">
        <v>383</v>
      </c>
      <c r="E26" s="415" t="s">
        <v>374</v>
      </c>
      <c r="F26" s="415" t="s">
        <v>365</v>
      </c>
      <c r="G26" s="415">
        <v>1230000000</v>
      </c>
      <c r="H26" s="415">
        <v>984000000</v>
      </c>
      <c r="I26" s="415">
        <v>934800000</v>
      </c>
      <c r="J26" s="415">
        <v>49200000</v>
      </c>
      <c r="K26" s="416">
        <v>196800000</v>
      </c>
      <c r="L26" s="415">
        <v>787200000</v>
      </c>
      <c r="M26" s="415">
        <v>687200000</v>
      </c>
      <c r="N26" s="415">
        <v>0</v>
      </c>
      <c r="O26" s="415">
        <v>100000000</v>
      </c>
      <c r="P26" s="417">
        <v>50000000</v>
      </c>
    </row>
    <row r="27" spans="1:16" s="114" customFormat="1" ht="15" x14ac:dyDescent="0.25">
      <c r="A27" s="115"/>
      <c r="B27" s="293"/>
      <c r="C27" s="280"/>
      <c r="D27" s="281"/>
      <c r="E27" s="281"/>
      <c r="F27" s="281"/>
      <c r="G27" s="281"/>
      <c r="H27" s="281"/>
      <c r="I27" s="281"/>
      <c r="J27" s="281"/>
      <c r="K27" s="294"/>
      <c r="L27" s="281"/>
      <c r="M27" s="281"/>
      <c r="N27" s="281"/>
      <c r="O27" s="281"/>
      <c r="P27" s="295"/>
    </row>
    <row r="28" spans="1:16" s="114" customFormat="1" ht="15" x14ac:dyDescent="0.25">
      <c r="A28" s="115"/>
      <c r="B28" s="293"/>
      <c r="C28" s="280"/>
      <c r="D28" s="281"/>
      <c r="E28" s="281"/>
      <c r="F28" s="281"/>
      <c r="G28" s="281"/>
      <c r="H28" s="281"/>
      <c r="I28" s="281"/>
      <c r="J28" s="281"/>
      <c r="K28" s="294"/>
      <c r="L28" s="281"/>
      <c r="M28" s="281"/>
      <c r="N28" s="281"/>
      <c r="O28" s="281"/>
      <c r="P28" s="295"/>
    </row>
    <row r="29" spans="1:16" s="114" customFormat="1" ht="15" x14ac:dyDescent="0.25">
      <c r="A29" s="115"/>
      <c r="B29" s="293"/>
      <c r="C29" s="280"/>
      <c r="D29" s="281"/>
      <c r="E29" s="281"/>
      <c r="F29" s="281"/>
      <c r="G29" s="281"/>
      <c r="H29" s="281"/>
      <c r="I29" s="281"/>
      <c r="J29" s="281"/>
      <c r="K29" s="294"/>
      <c r="L29" s="281"/>
      <c r="M29" s="281"/>
      <c r="N29" s="281"/>
      <c r="O29" s="281"/>
      <c r="P29" s="295"/>
    </row>
    <row r="30" spans="1:16" s="114" customFormat="1" ht="15" x14ac:dyDescent="0.25">
      <c r="A30" s="115"/>
      <c r="B30" s="293"/>
      <c r="C30" s="280"/>
      <c r="D30" s="281"/>
      <c r="E30" s="281"/>
      <c r="F30" s="281"/>
      <c r="G30" s="281"/>
      <c r="H30" s="281"/>
      <c r="I30" s="281"/>
      <c r="J30" s="281"/>
      <c r="K30" s="294"/>
      <c r="L30" s="281"/>
      <c r="M30" s="281"/>
      <c r="N30" s="281"/>
      <c r="O30" s="281"/>
      <c r="P30" s="295"/>
    </row>
    <row r="31" spans="1:16" s="114" customFormat="1" ht="15" x14ac:dyDescent="0.25">
      <c r="A31" s="115"/>
      <c r="B31" s="293"/>
      <c r="C31" s="280"/>
      <c r="D31" s="281"/>
      <c r="E31" s="281"/>
      <c r="F31" s="281"/>
      <c r="G31" s="281"/>
      <c r="H31" s="281"/>
      <c r="I31" s="281"/>
      <c r="J31" s="281"/>
      <c r="K31" s="294"/>
      <c r="L31" s="281"/>
      <c r="M31" s="281"/>
      <c r="N31" s="281"/>
      <c r="O31" s="281"/>
      <c r="P31" s="295"/>
    </row>
    <row r="32" spans="1:16" s="114" customFormat="1" ht="15.75" thickBot="1" x14ac:dyDescent="0.3">
      <c r="A32" s="115"/>
      <c r="B32" s="296"/>
      <c r="C32" s="282"/>
      <c r="D32" s="283"/>
      <c r="E32" s="283"/>
      <c r="F32" s="283"/>
      <c r="G32" s="283"/>
      <c r="H32" s="284"/>
      <c r="I32" s="284"/>
      <c r="J32" s="284"/>
      <c r="K32" s="297"/>
      <c r="L32" s="284"/>
      <c r="M32" s="284"/>
      <c r="N32" s="284"/>
      <c r="O32" s="284"/>
      <c r="P32" s="298"/>
    </row>
    <row r="33" spans="1:16" s="114" customFormat="1" ht="15.75" thickBot="1" x14ac:dyDescent="0.25">
      <c r="A33" s="115"/>
      <c r="B33" s="299"/>
      <c r="C33" s="300" t="s">
        <v>216</v>
      </c>
      <c r="D33" s="301"/>
      <c r="E33" s="301"/>
      <c r="F33" s="301"/>
      <c r="G33" s="302">
        <f t="shared" ref="G33:P33" si="0">SUM(G17:G31)</f>
        <v>12530000000</v>
      </c>
      <c r="H33" s="302">
        <f t="shared" si="0"/>
        <v>10348000000</v>
      </c>
      <c r="I33" s="302">
        <f t="shared" si="0"/>
        <v>9005600000</v>
      </c>
      <c r="J33" s="302">
        <f t="shared" si="0"/>
        <v>1342400000</v>
      </c>
      <c r="K33" s="302">
        <f t="shared" si="0"/>
        <v>1847800000</v>
      </c>
      <c r="L33" s="302"/>
      <c r="M33" s="302"/>
      <c r="N33" s="302">
        <f t="shared" si="0"/>
        <v>0</v>
      </c>
      <c r="O33" s="302"/>
      <c r="P33" s="302">
        <f t="shared" si="0"/>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466"/>
      <c r="C49" s="466"/>
      <c r="D49" s="466"/>
      <c r="E49" s="466"/>
      <c r="F49" s="115"/>
      <c r="G49" s="115"/>
      <c r="H49" s="115"/>
      <c r="I49" s="115"/>
      <c r="J49" s="115"/>
      <c r="K49" s="115"/>
      <c r="L49" s="115"/>
    </row>
    <row r="50" spans="1:12" ht="13.35" customHeight="1" x14ac:dyDescent="0.2">
      <c r="B50" s="466"/>
      <c r="C50" s="466"/>
      <c r="D50" s="466"/>
      <c r="E50" s="466"/>
    </row>
    <row r="51" spans="1:12" ht="13.35" customHeight="1" x14ac:dyDescent="0.2">
      <c r="B51" s="466"/>
      <c r="C51" s="466"/>
      <c r="D51" s="466"/>
      <c r="E51" s="466"/>
    </row>
  </sheetData>
  <mergeCells count="11">
    <mergeCell ref="D9:E9"/>
    <mergeCell ref="B2:O2"/>
    <mergeCell ref="D5:E5"/>
    <mergeCell ref="D6:E6"/>
    <mergeCell ref="D7:E7"/>
    <mergeCell ref="D8:E8"/>
    <mergeCell ref="D10:E10"/>
    <mergeCell ref="D11:E11"/>
    <mergeCell ref="C13:P13"/>
    <mergeCell ref="K14:P14"/>
    <mergeCell ref="B49:E51"/>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7"/>
  <sheetViews>
    <sheetView topLeftCell="A14" zoomScaleNormal="100" workbookViewId="0">
      <selection activeCell="G102" sqref="G102"/>
    </sheetView>
  </sheetViews>
  <sheetFormatPr defaultColWidth="11.42578125" defaultRowHeight="12.75" x14ac:dyDescent="0.2"/>
  <cols>
    <col min="1" max="1" width="2.85546875" style="115" customWidth="1"/>
    <col min="2" max="2" width="8.85546875" style="115" customWidth="1"/>
    <col min="3" max="3" width="12.42578125" style="115" customWidth="1"/>
    <col min="4" max="6" width="14.42578125" style="115" customWidth="1"/>
    <col min="7" max="7" width="12.85546875" style="115" bestFit="1" customWidth="1"/>
    <col min="8" max="28" width="8.85546875" style="115" customWidth="1"/>
    <col min="29" max="29" width="21.140625" style="115" customWidth="1"/>
    <col min="30" max="30" width="7.85546875" style="115" customWidth="1"/>
    <col min="31" max="16384" width="11.42578125" style="115"/>
  </cols>
  <sheetData>
    <row r="1" spans="1:30" ht="13.5" thickBot="1" x14ac:dyDescent="0.25"/>
    <row r="2" spans="1:30" ht="47.1" customHeight="1" thickBot="1" x14ac:dyDescent="0.25">
      <c r="B2" s="437" t="s">
        <v>127</v>
      </c>
      <c r="C2" s="438"/>
      <c r="D2" s="438"/>
      <c r="E2" s="438"/>
      <c r="F2" s="438"/>
      <c r="G2" s="438"/>
      <c r="H2" s="438"/>
      <c r="I2" s="438"/>
      <c r="J2" s="438"/>
      <c r="K2" s="438"/>
      <c r="L2" s="438"/>
      <c r="M2" s="438"/>
      <c r="N2" s="438"/>
      <c r="O2" s="438"/>
      <c r="P2" s="438"/>
      <c r="Q2" s="438"/>
      <c r="R2" s="438"/>
      <c r="S2" s="438"/>
      <c r="T2" s="438"/>
      <c r="U2" s="438"/>
      <c r="V2" s="438"/>
      <c r="W2" s="438"/>
      <c r="X2" s="438"/>
      <c r="Y2" s="438"/>
      <c r="Z2" s="438"/>
      <c r="AA2" s="438"/>
      <c r="AB2" s="438"/>
      <c r="AC2" s="439"/>
      <c r="AD2" s="172" t="s">
        <v>16</v>
      </c>
    </row>
    <row r="3" spans="1:30" ht="14.45" customHeight="1" x14ac:dyDescent="0.4">
      <c r="C3" s="117"/>
      <c r="D3" s="117"/>
      <c r="E3" s="117"/>
      <c r="F3" s="117"/>
      <c r="G3" s="117"/>
      <c r="H3" s="117"/>
      <c r="I3" s="117"/>
    </row>
    <row r="4" spans="1:30" s="114" customFormat="1" ht="14.45" customHeight="1" x14ac:dyDescent="0.2">
      <c r="K4" s="116"/>
      <c r="N4" s="113"/>
      <c r="O4" s="113"/>
      <c r="P4" s="113"/>
      <c r="Q4" s="113"/>
      <c r="R4" s="113"/>
    </row>
    <row r="5" spans="1:30" s="114" customFormat="1" ht="14.45" customHeight="1" x14ac:dyDescent="0.2">
      <c r="C5" s="118" t="s">
        <v>103</v>
      </c>
      <c r="D5" s="451" t="str">
        <f>Header!$D$4</f>
        <v>ZARAI REINSURANCE CORPORATION</v>
      </c>
      <c r="E5" s="452"/>
      <c r="F5" s="173"/>
      <c r="G5" s="119"/>
      <c r="N5" s="113"/>
    </row>
    <row r="6" spans="1:30" s="114" customFormat="1" ht="14.45" customHeight="1" x14ac:dyDescent="0.2">
      <c r="C6" s="118" t="s">
        <v>3</v>
      </c>
      <c r="D6" s="451" t="str">
        <f>Header!$D$5</f>
        <v>Kenya</v>
      </c>
      <c r="E6" s="452"/>
      <c r="F6" s="173"/>
      <c r="G6" s="119" t="s">
        <v>104</v>
      </c>
    </row>
    <row r="7" spans="1:30" s="114" customFormat="1" ht="14.45" customHeight="1" x14ac:dyDescent="0.2">
      <c r="C7" s="118" t="s">
        <v>4</v>
      </c>
      <c r="D7" s="451" t="str">
        <f>Header!$D$6</f>
        <v>KES</v>
      </c>
      <c r="E7" s="452"/>
      <c r="F7" s="173"/>
      <c r="G7" s="119"/>
    </row>
    <row r="8" spans="1:30" s="114" customFormat="1" ht="14.45" customHeight="1" x14ac:dyDescent="0.2">
      <c r="C8" s="118" t="s">
        <v>105</v>
      </c>
      <c r="D8" s="451">
        <f>YEAR(Header!$D$11)</f>
        <v>2026</v>
      </c>
      <c r="E8" s="452"/>
      <c r="F8" s="173"/>
      <c r="G8" s="119"/>
    </row>
    <row r="9" spans="1:30" s="114" customFormat="1" ht="14.45" customHeight="1" x14ac:dyDescent="0.2">
      <c r="C9" s="118" t="s">
        <v>11</v>
      </c>
      <c r="D9" s="451" t="str">
        <f>Header!$D$15</f>
        <v>Property</v>
      </c>
      <c r="E9" s="452"/>
      <c r="F9" s="173"/>
      <c r="G9" s="119"/>
    </row>
    <row r="10" spans="1:30" s="114" customFormat="1" ht="14.45" customHeight="1" x14ac:dyDescent="0.2">
      <c r="C10" s="118" t="s">
        <v>106</v>
      </c>
      <c r="D10" s="431"/>
      <c r="E10" s="433"/>
      <c r="F10" s="173"/>
      <c r="G10" s="119"/>
    </row>
    <row r="11" spans="1:30" s="114" customFormat="1" ht="14.45" customHeight="1" thickBot="1" x14ac:dyDescent="0.25"/>
    <row r="12" spans="1:30" s="114" customFormat="1" ht="14.45" customHeight="1" thickBot="1" x14ac:dyDescent="0.25">
      <c r="A12" s="115"/>
      <c r="B12" s="123"/>
      <c r="C12" s="123"/>
      <c r="D12" s="123"/>
      <c r="E12" s="123"/>
      <c r="F12" s="123"/>
      <c r="G12" s="123"/>
      <c r="H12" s="516" t="s">
        <v>128</v>
      </c>
      <c r="I12" s="517"/>
      <c r="J12" s="518"/>
      <c r="K12" s="519" t="s">
        <v>129</v>
      </c>
      <c r="L12" s="517"/>
      <c r="M12" s="518"/>
      <c r="N12" s="519" t="s">
        <v>130</v>
      </c>
      <c r="O12" s="517"/>
      <c r="P12" s="518"/>
      <c r="Q12" s="519" t="s">
        <v>131</v>
      </c>
      <c r="R12" s="517"/>
      <c r="S12" s="518"/>
      <c r="T12" s="519" t="s">
        <v>132</v>
      </c>
      <c r="U12" s="517"/>
      <c r="V12" s="518"/>
      <c r="W12" s="519" t="s">
        <v>133</v>
      </c>
      <c r="X12" s="517"/>
      <c r="Y12" s="518"/>
      <c r="Z12" s="517" t="s">
        <v>134</v>
      </c>
      <c r="AA12" s="517"/>
      <c r="AB12" s="520"/>
      <c r="AC12" s="513"/>
    </row>
    <row r="13" spans="1:30" s="114" customFormat="1" ht="14.45" customHeight="1" x14ac:dyDescent="0.2">
      <c r="A13" s="115"/>
      <c r="B13" s="503" t="s">
        <v>135</v>
      </c>
      <c r="C13" s="504"/>
      <c r="D13" s="504"/>
      <c r="E13" s="505"/>
      <c r="F13" s="505"/>
      <c r="G13" s="506"/>
      <c r="H13" s="522"/>
      <c r="I13" s="511"/>
      <c r="J13" s="511"/>
      <c r="K13" s="511"/>
      <c r="L13" s="511"/>
      <c r="M13" s="511"/>
      <c r="N13" s="511"/>
      <c r="O13" s="511"/>
      <c r="P13" s="511"/>
      <c r="Q13" s="511"/>
      <c r="R13" s="511"/>
      <c r="S13" s="511"/>
      <c r="T13" s="511"/>
      <c r="U13" s="511"/>
      <c r="V13" s="511"/>
      <c r="W13" s="511"/>
      <c r="X13" s="511"/>
      <c r="Y13" s="511"/>
      <c r="Z13" s="511"/>
      <c r="AA13" s="511"/>
      <c r="AB13" s="521"/>
      <c r="AC13" s="514"/>
    </row>
    <row r="14" spans="1:30" s="114" customFormat="1" ht="14.45" customHeight="1" thickBot="1" x14ac:dyDescent="0.25">
      <c r="A14" s="115"/>
      <c r="B14" s="507" t="s">
        <v>136</v>
      </c>
      <c r="C14" s="508"/>
      <c r="D14" s="508"/>
      <c r="E14" s="509"/>
      <c r="F14" s="509"/>
      <c r="G14" s="510"/>
      <c r="H14" s="497"/>
      <c r="I14" s="498"/>
      <c r="J14" s="498"/>
      <c r="K14" s="498"/>
      <c r="L14" s="498"/>
      <c r="M14" s="498"/>
      <c r="N14" s="498"/>
      <c r="O14" s="498"/>
      <c r="P14" s="498"/>
      <c r="Q14" s="498"/>
      <c r="R14" s="498"/>
      <c r="S14" s="498"/>
      <c r="T14" s="498"/>
      <c r="U14" s="498"/>
      <c r="V14" s="498"/>
      <c r="W14" s="498"/>
      <c r="X14" s="498"/>
      <c r="Y14" s="498"/>
      <c r="Z14" s="498"/>
      <c r="AA14" s="498"/>
      <c r="AB14" s="512"/>
      <c r="AC14" s="514"/>
    </row>
    <row r="15" spans="1:30" s="114" customFormat="1" ht="39" thickBot="1" x14ac:dyDescent="0.25">
      <c r="A15" s="115"/>
      <c r="B15" s="109" t="s">
        <v>137</v>
      </c>
      <c r="C15" s="49" t="s">
        <v>138</v>
      </c>
      <c r="D15" s="49" t="s">
        <v>139</v>
      </c>
      <c r="E15" s="49" t="s">
        <v>140</v>
      </c>
      <c r="F15" s="50" t="s">
        <v>141</v>
      </c>
      <c r="G15" s="50" t="s">
        <v>142</v>
      </c>
      <c r="H15" s="63" t="s">
        <v>120</v>
      </c>
      <c r="I15" s="64" t="s">
        <v>143</v>
      </c>
      <c r="J15" s="64" t="s">
        <v>144</v>
      </c>
      <c r="K15" s="64" t="s">
        <v>120</v>
      </c>
      <c r="L15" s="64" t="s">
        <v>143</v>
      </c>
      <c r="M15" s="64" t="s">
        <v>144</v>
      </c>
      <c r="N15" s="64" t="s">
        <v>120</v>
      </c>
      <c r="O15" s="64" t="s">
        <v>143</v>
      </c>
      <c r="P15" s="64" t="s">
        <v>144</v>
      </c>
      <c r="Q15" s="64" t="s">
        <v>120</v>
      </c>
      <c r="R15" s="64" t="s">
        <v>143</v>
      </c>
      <c r="S15" s="64" t="s">
        <v>144</v>
      </c>
      <c r="T15" s="64" t="s">
        <v>120</v>
      </c>
      <c r="U15" s="64" t="s">
        <v>143</v>
      </c>
      <c r="V15" s="64" t="s">
        <v>144</v>
      </c>
      <c r="W15" s="64" t="s">
        <v>120</v>
      </c>
      <c r="X15" s="64" t="s">
        <v>143</v>
      </c>
      <c r="Y15" s="64" t="s">
        <v>144</v>
      </c>
      <c r="Z15" s="64" t="s">
        <v>120</v>
      </c>
      <c r="AA15" s="64" t="s">
        <v>143</v>
      </c>
      <c r="AB15" s="65" t="s">
        <v>144</v>
      </c>
      <c r="AC15" s="515"/>
    </row>
    <row r="16" spans="1:30" s="114" customFormat="1" x14ac:dyDescent="0.2">
      <c r="A16" s="115"/>
      <c r="B16" s="500">
        <f t="shared" ref="B16" si="0">B29-1</f>
        <v>2019</v>
      </c>
      <c r="C16" s="68"/>
      <c r="D16" s="69"/>
      <c r="E16" s="105"/>
      <c r="F16" s="105"/>
      <c r="G16" s="70"/>
      <c r="H16" s="197"/>
      <c r="I16" s="198"/>
      <c r="J16" s="199">
        <f t="shared" ref="J16:J108" si="1">H16+I16</f>
        <v>0</v>
      </c>
      <c r="K16" s="198"/>
      <c r="L16" s="198"/>
      <c r="M16" s="199">
        <f t="shared" ref="M16:M79" si="2">K16+L16</f>
        <v>0</v>
      </c>
      <c r="N16" s="198"/>
      <c r="O16" s="198"/>
      <c r="P16" s="199">
        <f t="shared" ref="P16:P79" si="3">N16+O16</f>
        <v>0</v>
      </c>
      <c r="Q16" s="198"/>
      <c r="R16" s="198"/>
      <c r="S16" s="199">
        <f t="shared" ref="S16:S67" si="4">Q16+R16</f>
        <v>0</v>
      </c>
      <c r="T16" s="198"/>
      <c r="U16" s="198"/>
      <c r="V16" s="199">
        <f t="shared" ref="V16:V54" si="5">T16+U16</f>
        <v>0</v>
      </c>
      <c r="W16" s="198"/>
      <c r="X16" s="198"/>
      <c r="Y16" s="199">
        <f t="shared" ref="Y16:Y41" si="6">W16+X16</f>
        <v>0</v>
      </c>
      <c r="Z16" s="198"/>
      <c r="AA16" s="198"/>
      <c r="AB16" s="200">
        <f t="shared" ref="AB16:AB27" si="7">Z16+AA16</f>
        <v>0</v>
      </c>
      <c r="AC16" s="201"/>
    </row>
    <row r="17" spans="1:29" s="114" customFormat="1" x14ac:dyDescent="0.2">
      <c r="A17" s="115"/>
      <c r="B17" s="500"/>
      <c r="C17" s="68"/>
      <c r="D17" s="69"/>
      <c r="E17" s="105"/>
      <c r="F17" s="105"/>
      <c r="G17" s="70"/>
      <c r="H17" s="202"/>
      <c r="I17" s="203"/>
      <c r="J17" s="204">
        <f t="shared" si="1"/>
        <v>0</v>
      </c>
      <c r="K17" s="203"/>
      <c r="L17" s="203"/>
      <c r="M17" s="205">
        <f t="shared" si="2"/>
        <v>0</v>
      </c>
      <c r="N17" s="203"/>
      <c r="O17" s="203"/>
      <c r="P17" s="205">
        <f t="shared" si="3"/>
        <v>0</v>
      </c>
      <c r="Q17" s="203"/>
      <c r="R17" s="203"/>
      <c r="S17" s="205">
        <f t="shared" si="4"/>
        <v>0</v>
      </c>
      <c r="T17" s="203"/>
      <c r="U17" s="203"/>
      <c r="V17" s="205">
        <f t="shared" si="5"/>
        <v>0</v>
      </c>
      <c r="W17" s="203"/>
      <c r="X17" s="203"/>
      <c r="Y17" s="205">
        <f t="shared" si="6"/>
        <v>0</v>
      </c>
      <c r="Z17" s="203"/>
      <c r="AA17" s="203"/>
      <c r="AB17" s="206">
        <f t="shared" si="7"/>
        <v>0</v>
      </c>
      <c r="AC17" s="207"/>
    </row>
    <row r="18" spans="1:29" s="114" customFormat="1" x14ac:dyDescent="0.2">
      <c r="A18" s="115"/>
      <c r="B18" s="500"/>
      <c r="C18" s="68"/>
      <c r="D18" s="69"/>
      <c r="E18" s="105"/>
      <c r="F18" s="105"/>
      <c r="G18" s="70"/>
      <c r="H18" s="202"/>
      <c r="I18" s="203"/>
      <c r="J18" s="204">
        <f t="shared" si="1"/>
        <v>0</v>
      </c>
      <c r="K18" s="203"/>
      <c r="L18" s="203"/>
      <c r="M18" s="205">
        <f t="shared" si="2"/>
        <v>0</v>
      </c>
      <c r="N18" s="203"/>
      <c r="O18" s="203"/>
      <c r="P18" s="205">
        <f t="shared" si="3"/>
        <v>0</v>
      </c>
      <c r="Q18" s="203"/>
      <c r="R18" s="203"/>
      <c r="S18" s="205">
        <f t="shared" si="4"/>
        <v>0</v>
      </c>
      <c r="T18" s="203"/>
      <c r="U18" s="203"/>
      <c r="V18" s="205">
        <f t="shared" si="5"/>
        <v>0</v>
      </c>
      <c r="W18" s="203"/>
      <c r="X18" s="203"/>
      <c r="Y18" s="205">
        <f t="shared" si="6"/>
        <v>0</v>
      </c>
      <c r="Z18" s="203"/>
      <c r="AA18" s="203"/>
      <c r="AB18" s="206">
        <f t="shared" si="7"/>
        <v>0</v>
      </c>
      <c r="AC18" s="207"/>
    </row>
    <row r="19" spans="1:29" s="114" customFormat="1" x14ac:dyDescent="0.2">
      <c r="A19" s="115"/>
      <c r="B19" s="500"/>
      <c r="C19" s="68"/>
      <c r="D19" s="69"/>
      <c r="E19" s="105"/>
      <c r="F19" s="105"/>
      <c r="G19" s="70"/>
      <c r="H19" s="202"/>
      <c r="I19" s="203"/>
      <c r="J19" s="204">
        <f t="shared" si="1"/>
        <v>0</v>
      </c>
      <c r="K19" s="203"/>
      <c r="L19" s="203"/>
      <c r="M19" s="205">
        <f t="shared" si="2"/>
        <v>0</v>
      </c>
      <c r="N19" s="203"/>
      <c r="O19" s="203"/>
      <c r="P19" s="205">
        <f t="shared" si="3"/>
        <v>0</v>
      </c>
      <c r="Q19" s="203"/>
      <c r="R19" s="203"/>
      <c r="S19" s="205">
        <f t="shared" si="4"/>
        <v>0</v>
      </c>
      <c r="T19" s="203"/>
      <c r="U19" s="203"/>
      <c r="V19" s="205">
        <f t="shared" si="5"/>
        <v>0</v>
      </c>
      <c r="W19" s="203"/>
      <c r="X19" s="203"/>
      <c r="Y19" s="205">
        <f t="shared" si="6"/>
        <v>0</v>
      </c>
      <c r="Z19" s="203"/>
      <c r="AA19" s="203"/>
      <c r="AB19" s="206">
        <f t="shared" si="7"/>
        <v>0</v>
      </c>
      <c r="AC19" s="207"/>
    </row>
    <row r="20" spans="1:29" s="114" customFormat="1" x14ac:dyDescent="0.2">
      <c r="A20" s="115"/>
      <c r="B20" s="500"/>
      <c r="C20" s="68"/>
      <c r="D20" s="69"/>
      <c r="E20" s="105"/>
      <c r="F20" s="105"/>
      <c r="G20" s="70"/>
      <c r="H20" s="202"/>
      <c r="I20" s="203"/>
      <c r="J20" s="204">
        <f t="shared" si="1"/>
        <v>0</v>
      </c>
      <c r="K20" s="203"/>
      <c r="L20" s="203"/>
      <c r="M20" s="205">
        <f t="shared" si="2"/>
        <v>0</v>
      </c>
      <c r="N20" s="203"/>
      <c r="O20" s="203"/>
      <c r="P20" s="205">
        <f t="shared" si="3"/>
        <v>0</v>
      </c>
      <c r="Q20" s="203"/>
      <c r="R20" s="203"/>
      <c r="S20" s="205">
        <f t="shared" si="4"/>
        <v>0</v>
      </c>
      <c r="T20" s="203"/>
      <c r="U20" s="203"/>
      <c r="V20" s="205">
        <f t="shared" si="5"/>
        <v>0</v>
      </c>
      <c r="W20" s="203"/>
      <c r="X20" s="203"/>
      <c r="Y20" s="205">
        <f t="shared" si="6"/>
        <v>0</v>
      </c>
      <c r="Z20" s="203"/>
      <c r="AA20" s="203"/>
      <c r="AB20" s="206">
        <f t="shared" si="7"/>
        <v>0</v>
      </c>
      <c r="AC20" s="207"/>
    </row>
    <row r="21" spans="1:29" s="114" customFormat="1" x14ac:dyDescent="0.2">
      <c r="A21" s="115"/>
      <c r="B21" s="500"/>
      <c r="C21" s="68"/>
      <c r="D21" s="69"/>
      <c r="E21" s="105"/>
      <c r="F21" s="105"/>
      <c r="G21" s="70"/>
      <c r="H21" s="202"/>
      <c r="I21" s="203"/>
      <c r="J21" s="204">
        <f t="shared" si="1"/>
        <v>0</v>
      </c>
      <c r="K21" s="203"/>
      <c r="L21" s="203"/>
      <c r="M21" s="205">
        <f t="shared" si="2"/>
        <v>0</v>
      </c>
      <c r="N21" s="203"/>
      <c r="O21" s="203"/>
      <c r="P21" s="205">
        <f t="shared" si="3"/>
        <v>0</v>
      </c>
      <c r="Q21" s="203"/>
      <c r="R21" s="203"/>
      <c r="S21" s="205">
        <f t="shared" si="4"/>
        <v>0</v>
      </c>
      <c r="T21" s="203"/>
      <c r="U21" s="203"/>
      <c r="V21" s="205">
        <f t="shared" si="5"/>
        <v>0</v>
      </c>
      <c r="W21" s="203"/>
      <c r="X21" s="203"/>
      <c r="Y21" s="205">
        <f t="shared" si="6"/>
        <v>0</v>
      </c>
      <c r="Z21" s="203"/>
      <c r="AA21" s="203"/>
      <c r="AB21" s="206">
        <f t="shared" si="7"/>
        <v>0</v>
      </c>
      <c r="AC21" s="207"/>
    </row>
    <row r="22" spans="1:29" s="114" customFormat="1" x14ac:dyDescent="0.2">
      <c r="A22" s="115"/>
      <c r="B22" s="500"/>
      <c r="C22" s="68"/>
      <c r="D22" s="69"/>
      <c r="E22" s="105"/>
      <c r="F22" s="105"/>
      <c r="G22" s="70"/>
      <c r="H22" s="202"/>
      <c r="I22" s="203"/>
      <c r="J22" s="204">
        <f t="shared" si="1"/>
        <v>0</v>
      </c>
      <c r="K22" s="203"/>
      <c r="L22" s="203"/>
      <c r="M22" s="205">
        <f t="shared" si="2"/>
        <v>0</v>
      </c>
      <c r="N22" s="203"/>
      <c r="O22" s="203"/>
      <c r="P22" s="205">
        <f t="shared" si="3"/>
        <v>0</v>
      </c>
      <c r="Q22" s="203"/>
      <c r="R22" s="203"/>
      <c r="S22" s="205">
        <f t="shared" si="4"/>
        <v>0</v>
      </c>
      <c r="T22" s="203"/>
      <c r="U22" s="203"/>
      <c r="V22" s="205">
        <f t="shared" si="5"/>
        <v>0</v>
      </c>
      <c r="W22" s="203"/>
      <c r="X22" s="203"/>
      <c r="Y22" s="205">
        <f t="shared" si="6"/>
        <v>0</v>
      </c>
      <c r="Z22" s="203"/>
      <c r="AA22" s="203"/>
      <c r="AB22" s="206">
        <f t="shared" si="7"/>
        <v>0</v>
      </c>
      <c r="AC22" s="207"/>
    </row>
    <row r="23" spans="1:29" s="114" customFormat="1" x14ac:dyDescent="0.2">
      <c r="A23" s="115"/>
      <c r="B23" s="501"/>
      <c r="C23" s="71"/>
      <c r="D23" s="72"/>
      <c r="E23" s="106"/>
      <c r="F23" s="106"/>
      <c r="G23" s="73"/>
      <c r="H23" s="208"/>
      <c r="I23" s="209"/>
      <c r="J23" s="204">
        <f t="shared" si="1"/>
        <v>0</v>
      </c>
      <c r="K23" s="209"/>
      <c r="L23" s="209"/>
      <c r="M23" s="204">
        <f t="shared" si="2"/>
        <v>0</v>
      </c>
      <c r="N23" s="209"/>
      <c r="O23" s="209"/>
      <c r="P23" s="204">
        <f t="shared" si="3"/>
        <v>0</v>
      </c>
      <c r="Q23" s="209"/>
      <c r="R23" s="209"/>
      <c r="S23" s="204">
        <f t="shared" si="4"/>
        <v>0</v>
      </c>
      <c r="T23" s="209"/>
      <c r="U23" s="209"/>
      <c r="V23" s="204">
        <f t="shared" si="5"/>
        <v>0</v>
      </c>
      <c r="W23" s="209"/>
      <c r="X23" s="209"/>
      <c r="Y23" s="204">
        <f t="shared" si="6"/>
        <v>0</v>
      </c>
      <c r="Z23" s="209"/>
      <c r="AA23" s="209"/>
      <c r="AB23" s="210">
        <f t="shared" si="7"/>
        <v>0</v>
      </c>
      <c r="AC23" s="207"/>
    </row>
    <row r="24" spans="1:29" s="114" customFormat="1" x14ac:dyDescent="0.2">
      <c r="A24" s="115"/>
      <c r="B24" s="501"/>
      <c r="C24" s="71"/>
      <c r="D24" s="72"/>
      <c r="E24" s="106"/>
      <c r="F24" s="106"/>
      <c r="G24" s="73"/>
      <c r="H24" s="208"/>
      <c r="I24" s="209"/>
      <c r="J24" s="204">
        <f t="shared" si="1"/>
        <v>0</v>
      </c>
      <c r="K24" s="209"/>
      <c r="L24" s="209"/>
      <c r="M24" s="204">
        <f t="shared" si="2"/>
        <v>0</v>
      </c>
      <c r="N24" s="209"/>
      <c r="O24" s="209"/>
      <c r="P24" s="204">
        <f t="shared" si="3"/>
        <v>0</v>
      </c>
      <c r="Q24" s="209"/>
      <c r="R24" s="209"/>
      <c r="S24" s="204">
        <f t="shared" si="4"/>
        <v>0</v>
      </c>
      <c r="T24" s="209"/>
      <c r="U24" s="209"/>
      <c r="V24" s="204">
        <f t="shared" si="5"/>
        <v>0</v>
      </c>
      <c r="W24" s="209"/>
      <c r="X24" s="209"/>
      <c r="Y24" s="204">
        <f t="shared" si="6"/>
        <v>0</v>
      </c>
      <c r="Z24" s="209"/>
      <c r="AA24" s="209"/>
      <c r="AB24" s="210">
        <f t="shared" si="7"/>
        <v>0</v>
      </c>
      <c r="AC24" s="207"/>
    </row>
    <row r="25" spans="1:29" s="114" customFormat="1" x14ac:dyDescent="0.2">
      <c r="A25" s="115"/>
      <c r="B25" s="501"/>
      <c r="C25" s="71"/>
      <c r="D25" s="72"/>
      <c r="E25" s="106"/>
      <c r="F25" s="106"/>
      <c r="G25" s="73"/>
      <c r="H25" s="208"/>
      <c r="I25" s="209"/>
      <c r="J25" s="204">
        <f t="shared" si="1"/>
        <v>0</v>
      </c>
      <c r="K25" s="209"/>
      <c r="L25" s="209"/>
      <c r="M25" s="204">
        <f t="shared" si="2"/>
        <v>0</v>
      </c>
      <c r="N25" s="209"/>
      <c r="O25" s="209"/>
      <c r="P25" s="204">
        <f t="shared" si="3"/>
        <v>0</v>
      </c>
      <c r="Q25" s="209"/>
      <c r="R25" s="209"/>
      <c r="S25" s="204">
        <f t="shared" si="4"/>
        <v>0</v>
      </c>
      <c r="T25" s="209"/>
      <c r="U25" s="209"/>
      <c r="V25" s="204">
        <f t="shared" si="5"/>
        <v>0</v>
      </c>
      <c r="W25" s="209"/>
      <c r="X25" s="209"/>
      <c r="Y25" s="204">
        <f t="shared" si="6"/>
        <v>0</v>
      </c>
      <c r="Z25" s="209"/>
      <c r="AA25" s="209"/>
      <c r="AB25" s="210">
        <f t="shared" si="7"/>
        <v>0</v>
      </c>
      <c r="AC25" s="207"/>
    </row>
    <row r="26" spans="1:29" s="114" customFormat="1" x14ac:dyDescent="0.2">
      <c r="A26" s="115"/>
      <c r="B26" s="501"/>
      <c r="C26" s="71"/>
      <c r="D26" s="72"/>
      <c r="E26" s="106"/>
      <c r="F26" s="106"/>
      <c r="G26" s="73"/>
      <c r="H26" s="208"/>
      <c r="I26" s="209"/>
      <c r="J26" s="204">
        <f t="shared" si="1"/>
        <v>0</v>
      </c>
      <c r="K26" s="209"/>
      <c r="L26" s="209"/>
      <c r="M26" s="204">
        <f t="shared" si="2"/>
        <v>0</v>
      </c>
      <c r="N26" s="209"/>
      <c r="O26" s="209"/>
      <c r="P26" s="204">
        <f t="shared" si="3"/>
        <v>0</v>
      </c>
      <c r="Q26" s="209"/>
      <c r="R26" s="209"/>
      <c r="S26" s="204">
        <f t="shared" si="4"/>
        <v>0</v>
      </c>
      <c r="T26" s="209"/>
      <c r="U26" s="209"/>
      <c r="V26" s="204">
        <f t="shared" si="5"/>
        <v>0</v>
      </c>
      <c r="W26" s="209"/>
      <c r="X26" s="209"/>
      <c r="Y26" s="204">
        <f t="shared" si="6"/>
        <v>0</v>
      </c>
      <c r="Z26" s="209"/>
      <c r="AA26" s="209"/>
      <c r="AB26" s="210">
        <f t="shared" si="7"/>
        <v>0</v>
      </c>
      <c r="AC26" s="207"/>
    </row>
    <row r="27" spans="1:29" x14ac:dyDescent="0.2">
      <c r="B27" s="501"/>
      <c r="C27" s="71"/>
      <c r="D27" s="72"/>
      <c r="E27" s="106"/>
      <c r="F27" s="106"/>
      <c r="G27" s="73"/>
      <c r="H27" s="208"/>
      <c r="I27" s="209"/>
      <c r="J27" s="204">
        <f t="shared" si="1"/>
        <v>0</v>
      </c>
      <c r="K27" s="209"/>
      <c r="L27" s="209"/>
      <c r="M27" s="204">
        <f t="shared" si="2"/>
        <v>0</v>
      </c>
      <c r="N27" s="209"/>
      <c r="O27" s="209"/>
      <c r="P27" s="204">
        <f t="shared" si="3"/>
        <v>0</v>
      </c>
      <c r="Q27" s="209"/>
      <c r="R27" s="209"/>
      <c r="S27" s="204">
        <f t="shared" si="4"/>
        <v>0</v>
      </c>
      <c r="T27" s="209"/>
      <c r="U27" s="209"/>
      <c r="V27" s="204">
        <f t="shared" si="5"/>
        <v>0</v>
      </c>
      <c r="W27" s="209"/>
      <c r="X27" s="209"/>
      <c r="Y27" s="204">
        <f t="shared" si="6"/>
        <v>0</v>
      </c>
      <c r="Z27" s="209"/>
      <c r="AA27" s="209"/>
      <c r="AB27" s="210">
        <f t="shared" si="7"/>
        <v>0</v>
      </c>
      <c r="AC27" s="207"/>
    </row>
    <row r="28" spans="1:29" ht="13.5" thickBot="1" x14ac:dyDescent="0.25">
      <c r="B28" s="502"/>
      <c r="C28" s="240"/>
      <c r="D28" s="74"/>
      <c r="E28" s="107"/>
      <c r="F28" s="107"/>
      <c r="G28" s="75"/>
      <c r="H28" s="211"/>
      <c r="I28" s="212"/>
      <c r="J28" s="213">
        <f t="shared" si="1"/>
        <v>0</v>
      </c>
      <c r="K28" s="212"/>
      <c r="L28" s="212"/>
      <c r="M28" s="213">
        <f t="shared" si="2"/>
        <v>0</v>
      </c>
      <c r="N28" s="212"/>
      <c r="O28" s="212"/>
      <c r="P28" s="213">
        <f t="shared" si="3"/>
        <v>0</v>
      </c>
      <c r="Q28" s="212"/>
      <c r="R28" s="212"/>
      <c r="S28" s="213">
        <f t="shared" si="4"/>
        <v>0</v>
      </c>
      <c r="T28" s="212"/>
      <c r="U28" s="212"/>
      <c r="V28" s="213">
        <f t="shared" si="5"/>
        <v>0</v>
      </c>
      <c r="W28" s="212"/>
      <c r="X28" s="212"/>
      <c r="Y28" s="213">
        <f t="shared" si="6"/>
        <v>0</v>
      </c>
      <c r="Z28" s="212"/>
      <c r="AA28" s="212"/>
      <c r="AB28" s="214">
        <v>0</v>
      </c>
      <c r="AC28" s="207"/>
    </row>
    <row r="29" spans="1:29" x14ac:dyDescent="0.2">
      <c r="B29" s="500">
        <f t="shared" ref="B29" si="8">B42-1</f>
        <v>2020</v>
      </c>
      <c r="C29" s="76"/>
      <c r="D29" s="66"/>
      <c r="E29" s="104"/>
      <c r="F29" s="104"/>
      <c r="G29" s="67"/>
      <c r="H29" s="197"/>
      <c r="I29" s="197"/>
      <c r="J29" s="199">
        <f t="shared" si="1"/>
        <v>0</v>
      </c>
      <c r="K29" s="198"/>
      <c r="L29" s="198"/>
      <c r="M29" s="199">
        <f t="shared" si="2"/>
        <v>0</v>
      </c>
      <c r="N29" s="198"/>
      <c r="O29" s="198"/>
      <c r="P29" s="199">
        <f t="shared" si="3"/>
        <v>0</v>
      </c>
      <c r="Q29" s="198"/>
      <c r="R29" s="198"/>
      <c r="S29" s="199">
        <f t="shared" si="4"/>
        <v>0</v>
      </c>
      <c r="T29" s="198"/>
      <c r="U29" s="198"/>
      <c r="V29" s="199">
        <f t="shared" si="5"/>
        <v>0</v>
      </c>
      <c r="W29" s="198"/>
      <c r="X29" s="198"/>
      <c r="Y29" s="215">
        <f t="shared" si="6"/>
        <v>0</v>
      </c>
      <c r="Z29" s="216"/>
      <c r="AA29" s="216"/>
      <c r="AB29" s="217"/>
      <c r="AC29" s="207"/>
    </row>
    <row r="30" spans="1:29" x14ac:dyDescent="0.2">
      <c r="B30" s="500"/>
      <c r="C30" s="76"/>
      <c r="D30" s="69"/>
      <c r="E30" s="105"/>
      <c r="F30" s="105"/>
      <c r="G30" s="70"/>
      <c r="H30" s="202"/>
      <c r="I30" s="202"/>
      <c r="J30" s="204">
        <f t="shared" si="1"/>
        <v>0</v>
      </c>
      <c r="K30" s="203"/>
      <c r="L30" s="203"/>
      <c r="M30" s="205">
        <f t="shared" si="2"/>
        <v>0</v>
      </c>
      <c r="N30" s="203"/>
      <c r="O30" s="203"/>
      <c r="P30" s="205">
        <f t="shared" si="3"/>
        <v>0</v>
      </c>
      <c r="Q30" s="203"/>
      <c r="R30" s="203"/>
      <c r="S30" s="205">
        <f t="shared" si="4"/>
        <v>0</v>
      </c>
      <c r="T30" s="203"/>
      <c r="U30" s="203"/>
      <c r="V30" s="205">
        <f t="shared" si="5"/>
        <v>0</v>
      </c>
      <c r="W30" s="203"/>
      <c r="X30" s="203"/>
      <c r="Y30" s="215">
        <f t="shared" si="6"/>
        <v>0</v>
      </c>
      <c r="Z30" s="216"/>
      <c r="AA30" s="216"/>
      <c r="AB30" s="217"/>
      <c r="AC30" s="207"/>
    </row>
    <row r="31" spans="1:29" x14ac:dyDescent="0.2">
      <c r="B31" s="500"/>
      <c r="C31" s="76"/>
      <c r="D31" s="69"/>
      <c r="E31" s="105"/>
      <c r="F31" s="105"/>
      <c r="G31" s="70"/>
      <c r="H31" s="202"/>
      <c r="I31" s="202"/>
      <c r="J31" s="204">
        <f t="shared" si="1"/>
        <v>0</v>
      </c>
      <c r="K31" s="203"/>
      <c r="L31" s="203"/>
      <c r="M31" s="205">
        <f t="shared" si="2"/>
        <v>0</v>
      </c>
      <c r="N31" s="203"/>
      <c r="O31" s="203"/>
      <c r="P31" s="205">
        <f t="shared" si="3"/>
        <v>0</v>
      </c>
      <c r="Q31" s="203"/>
      <c r="R31" s="203"/>
      <c r="S31" s="205">
        <f t="shared" si="4"/>
        <v>0</v>
      </c>
      <c r="T31" s="203"/>
      <c r="U31" s="203"/>
      <c r="V31" s="205">
        <f t="shared" si="5"/>
        <v>0</v>
      </c>
      <c r="W31" s="203"/>
      <c r="X31" s="203"/>
      <c r="Y31" s="215">
        <f t="shared" si="6"/>
        <v>0</v>
      </c>
      <c r="Z31" s="216"/>
      <c r="AA31" s="216"/>
      <c r="AB31" s="217"/>
      <c r="AC31" s="207"/>
    </row>
    <row r="32" spans="1:29" x14ac:dyDescent="0.2">
      <c r="B32" s="500"/>
      <c r="C32" s="76"/>
      <c r="D32" s="69"/>
      <c r="E32" s="105"/>
      <c r="F32" s="105"/>
      <c r="G32" s="70"/>
      <c r="H32" s="202"/>
      <c r="I32" s="202"/>
      <c r="J32" s="204">
        <f t="shared" si="1"/>
        <v>0</v>
      </c>
      <c r="K32" s="203"/>
      <c r="L32" s="203"/>
      <c r="M32" s="205">
        <f t="shared" si="2"/>
        <v>0</v>
      </c>
      <c r="N32" s="203"/>
      <c r="O32" s="203"/>
      <c r="P32" s="205">
        <f t="shared" si="3"/>
        <v>0</v>
      </c>
      <c r="Q32" s="203"/>
      <c r="R32" s="203"/>
      <c r="S32" s="205">
        <f t="shared" si="4"/>
        <v>0</v>
      </c>
      <c r="T32" s="203"/>
      <c r="U32" s="203"/>
      <c r="V32" s="205">
        <f t="shared" si="5"/>
        <v>0</v>
      </c>
      <c r="W32" s="203"/>
      <c r="X32" s="203"/>
      <c r="Y32" s="215">
        <f t="shared" si="6"/>
        <v>0</v>
      </c>
      <c r="Z32" s="216"/>
      <c r="AA32" s="216"/>
      <c r="AB32" s="217"/>
      <c r="AC32" s="207"/>
    </row>
    <row r="33" spans="2:29" x14ac:dyDescent="0.2">
      <c r="B33" s="500"/>
      <c r="C33" s="76"/>
      <c r="D33" s="69"/>
      <c r="E33" s="105"/>
      <c r="F33" s="105"/>
      <c r="G33" s="70"/>
      <c r="H33" s="202"/>
      <c r="I33" s="202"/>
      <c r="J33" s="204">
        <f t="shared" si="1"/>
        <v>0</v>
      </c>
      <c r="K33" s="203"/>
      <c r="L33" s="203"/>
      <c r="M33" s="205">
        <f t="shared" si="2"/>
        <v>0</v>
      </c>
      <c r="N33" s="203"/>
      <c r="O33" s="203"/>
      <c r="P33" s="205">
        <f t="shared" si="3"/>
        <v>0</v>
      </c>
      <c r="Q33" s="203"/>
      <c r="R33" s="203"/>
      <c r="S33" s="205">
        <f t="shared" si="4"/>
        <v>0</v>
      </c>
      <c r="T33" s="203"/>
      <c r="U33" s="203"/>
      <c r="V33" s="205">
        <f t="shared" si="5"/>
        <v>0</v>
      </c>
      <c r="W33" s="203"/>
      <c r="X33" s="203"/>
      <c r="Y33" s="215">
        <f t="shared" si="6"/>
        <v>0</v>
      </c>
      <c r="Z33" s="216"/>
      <c r="AA33" s="216"/>
      <c r="AB33" s="217"/>
      <c r="AC33" s="207"/>
    </row>
    <row r="34" spans="2:29" x14ac:dyDescent="0.2">
      <c r="B34" s="500"/>
      <c r="C34" s="76"/>
      <c r="D34" s="69"/>
      <c r="E34" s="105"/>
      <c r="F34" s="105"/>
      <c r="G34" s="70"/>
      <c r="H34" s="202"/>
      <c r="I34" s="202"/>
      <c r="J34" s="204">
        <f t="shared" si="1"/>
        <v>0</v>
      </c>
      <c r="K34" s="203"/>
      <c r="L34" s="203"/>
      <c r="M34" s="205">
        <f t="shared" si="2"/>
        <v>0</v>
      </c>
      <c r="N34" s="203"/>
      <c r="O34" s="203"/>
      <c r="P34" s="205">
        <f t="shared" si="3"/>
        <v>0</v>
      </c>
      <c r="Q34" s="203"/>
      <c r="R34" s="203"/>
      <c r="S34" s="205">
        <f t="shared" si="4"/>
        <v>0</v>
      </c>
      <c r="T34" s="203"/>
      <c r="U34" s="203"/>
      <c r="V34" s="205">
        <f t="shared" si="5"/>
        <v>0</v>
      </c>
      <c r="W34" s="203"/>
      <c r="X34" s="203"/>
      <c r="Y34" s="215">
        <f t="shared" si="6"/>
        <v>0</v>
      </c>
      <c r="Z34" s="216"/>
      <c r="AA34" s="216"/>
      <c r="AB34" s="217"/>
      <c r="AC34" s="207"/>
    </row>
    <row r="35" spans="2:29" x14ac:dyDescent="0.2">
      <c r="B35" s="500"/>
      <c r="C35" s="76"/>
      <c r="D35" s="69"/>
      <c r="E35" s="105"/>
      <c r="F35" s="105"/>
      <c r="G35" s="70"/>
      <c r="H35" s="202"/>
      <c r="I35" s="202"/>
      <c r="J35" s="204">
        <f t="shared" si="1"/>
        <v>0</v>
      </c>
      <c r="K35" s="203"/>
      <c r="L35" s="203"/>
      <c r="M35" s="205">
        <f t="shared" si="2"/>
        <v>0</v>
      </c>
      <c r="N35" s="203"/>
      <c r="O35" s="203"/>
      <c r="P35" s="205">
        <f t="shared" si="3"/>
        <v>0</v>
      </c>
      <c r="Q35" s="203"/>
      <c r="R35" s="203"/>
      <c r="S35" s="205">
        <f t="shared" si="4"/>
        <v>0</v>
      </c>
      <c r="T35" s="203"/>
      <c r="U35" s="203"/>
      <c r="V35" s="205">
        <f t="shared" si="5"/>
        <v>0</v>
      </c>
      <c r="W35" s="203"/>
      <c r="X35" s="203"/>
      <c r="Y35" s="215">
        <f t="shared" si="6"/>
        <v>0</v>
      </c>
      <c r="Z35" s="216"/>
      <c r="AA35" s="216"/>
      <c r="AB35" s="217"/>
      <c r="AC35" s="207"/>
    </row>
    <row r="36" spans="2:29" x14ac:dyDescent="0.2">
      <c r="B36" s="501"/>
      <c r="C36" s="77"/>
      <c r="D36" s="72"/>
      <c r="E36" s="106"/>
      <c r="F36" s="106"/>
      <c r="G36" s="73"/>
      <c r="H36" s="208"/>
      <c r="I36" s="208"/>
      <c r="J36" s="204">
        <f t="shared" si="1"/>
        <v>0</v>
      </c>
      <c r="K36" s="209"/>
      <c r="L36" s="209"/>
      <c r="M36" s="204">
        <f t="shared" si="2"/>
        <v>0</v>
      </c>
      <c r="N36" s="209"/>
      <c r="O36" s="209"/>
      <c r="P36" s="204">
        <f t="shared" si="3"/>
        <v>0</v>
      </c>
      <c r="Q36" s="209"/>
      <c r="R36" s="209"/>
      <c r="S36" s="204">
        <f t="shared" si="4"/>
        <v>0</v>
      </c>
      <c r="T36" s="209"/>
      <c r="U36" s="209"/>
      <c r="V36" s="204">
        <f t="shared" si="5"/>
        <v>0</v>
      </c>
      <c r="W36" s="209"/>
      <c r="X36" s="209"/>
      <c r="Y36" s="218">
        <f t="shared" si="6"/>
        <v>0</v>
      </c>
      <c r="Z36" s="219"/>
      <c r="AA36" s="219"/>
      <c r="AB36" s="220"/>
      <c r="AC36" s="207"/>
    </row>
    <row r="37" spans="2:29" x14ac:dyDescent="0.2">
      <c r="B37" s="501"/>
      <c r="C37" s="77"/>
      <c r="D37" s="72"/>
      <c r="E37" s="106"/>
      <c r="F37" s="106"/>
      <c r="G37" s="73"/>
      <c r="H37" s="208"/>
      <c r="I37" s="208"/>
      <c r="J37" s="204">
        <f t="shared" si="1"/>
        <v>0</v>
      </c>
      <c r="K37" s="209"/>
      <c r="L37" s="209"/>
      <c r="M37" s="204">
        <f t="shared" si="2"/>
        <v>0</v>
      </c>
      <c r="N37" s="209"/>
      <c r="O37" s="209"/>
      <c r="P37" s="204">
        <f t="shared" si="3"/>
        <v>0</v>
      </c>
      <c r="Q37" s="209"/>
      <c r="R37" s="209"/>
      <c r="S37" s="204">
        <f t="shared" si="4"/>
        <v>0</v>
      </c>
      <c r="T37" s="209"/>
      <c r="U37" s="209"/>
      <c r="V37" s="204">
        <f t="shared" si="5"/>
        <v>0</v>
      </c>
      <c r="W37" s="209"/>
      <c r="X37" s="209"/>
      <c r="Y37" s="218">
        <f t="shared" si="6"/>
        <v>0</v>
      </c>
      <c r="Z37" s="219"/>
      <c r="AA37" s="219"/>
      <c r="AB37" s="220"/>
      <c r="AC37" s="207"/>
    </row>
    <row r="38" spans="2:29" x14ac:dyDescent="0.2">
      <c r="B38" s="501"/>
      <c r="C38" s="77"/>
      <c r="D38" s="72"/>
      <c r="E38" s="106"/>
      <c r="F38" s="106"/>
      <c r="G38" s="73"/>
      <c r="H38" s="208"/>
      <c r="I38" s="208"/>
      <c r="J38" s="204">
        <f t="shared" si="1"/>
        <v>0</v>
      </c>
      <c r="K38" s="209"/>
      <c r="L38" s="209"/>
      <c r="M38" s="204">
        <f t="shared" si="2"/>
        <v>0</v>
      </c>
      <c r="N38" s="209"/>
      <c r="O38" s="209"/>
      <c r="P38" s="204">
        <f t="shared" si="3"/>
        <v>0</v>
      </c>
      <c r="Q38" s="209"/>
      <c r="R38" s="209"/>
      <c r="S38" s="204">
        <f t="shared" si="4"/>
        <v>0</v>
      </c>
      <c r="T38" s="209"/>
      <c r="U38" s="209"/>
      <c r="V38" s="204">
        <f t="shared" si="5"/>
        <v>0</v>
      </c>
      <c r="W38" s="209"/>
      <c r="X38" s="209"/>
      <c r="Y38" s="218">
        <f t="shared" si="6"/>
        <v>0</v>
      </c>
      <c r="Z38" s="219"/>
      <c r="AA38" s="219"/>
      <c r="AB38" s="220"/>
      <c r="AC38" s="207"/>
    </row>
    <row r="39" spans="2:29" x14ac:dyDescent="0.2">
      <c r="B39" s="501"/>
      <c r="C39" s="77"/>
      <c r="D39" s="72"/>
      <c r="E39" s="106"/>
      <c r="F39" s="106"/>
      <c r="G39" s="73"/>
      <c r="H39" s="208"/>
      <c r="I39" s="208"/>
      <c r="J39" s="204">
        <f t="shared" si="1"/>
        <v>0</v>
      </c>
      <c r="K39" s="209"/>
      <c r="L39" s="209"/>
      <c r="M39" s="204">
        <f t="shared" si="2"/>
        <v>0</v>
      </c>
      <c r="N39" s="209"/>
      <c r="O39" s="209"/>
      <c r="P39" s="204">
        <f t="shared" si="3"/>
        <v>0</v>
      </c>
      <c r="Q39" s="209"/>
      <c r="R39" s="209"/>
      <c r="S39" s="204">
        <f t="shared" si="4"/>
        <v>0</v>
      </c>
      <c r="T39" s="209"/>
      <c r="U39" s="209"/>
      <c r="V39" s="204">
        <f t="shared" si="5"/>
        <v>0</v>
      </c>
      <c r="W39" s="209"/>
      <c r="X39" s="209"/>
      <c r="Y39" s="218">
        <f t="shared" si="6"/>
        <v>0</v>
      </c>
      <c r="Z39" s="219"/>
      <c r="AA39" s="219"/>
      <c r="AB39" s="220"/>
      <c r="AC39" s="207"/>
    </row>
    <row r="40" spans="2:29" x14ac:dyDescent="0.2">
      <c r="B40" s="501"/>
      <c r="C40" s="77"/>
      <c r="D40" s="72"/>
      <c r="E40" s="106"/>
      <c r="F40" s="106"/>
      <c r="G40" s="73"/>
      <c r="H40" s="208"/>
      <c r="I40" s="208"/>
      <c r="J40" s="204">
        <f t="shared" si="1"/>
        <v>0</v>
      </c>
      <c r="K40" s="209"/>
      <c r="L40" s="209"/>
      <c r="M40" s="204">
        <f t="shared" si="2"/>
        <v>0</v>
      </c>
      <c r="N40" s="209"/>
      <c r="O40" s="209"/>
      <c r="P40" s="204">
        <f t="shared" si="3"/>
        <v>0</v>
      </c>
      <c r="Q40" s="209"/>
      <c r="R40" s="209"/>
      <c r="S40" s="204">
        <f t="shared" si="4"/>
        <v>0</v>
      </c>
      <c r="T40" s="209"/>
      <c r="U40" s="209"/>
      <c r="V40" s="204">
        <f t="shared" si="5"/>
        <v>0</v>
      </c>
      <c r="W40" s="209"/>
      <c r="X40" s="209"/>
      <c r="Y40" s="218">
        <f t="shared" si="6"/>
        <v>0</v>
      </c>
      <c r="Z40" s="219"/>
      <c r="AA40" s="219"/>
      <c r="AB40" s="220"/>
      <c r="AC40" s="207"/>
    </row>
    <row r="41" spans="2:29" ht="13.5" thickBot="1" x14ac:dyDescent="0.25">
      <c r="B41" s="502"/>
      <c r="C41" s="78"/>
      <c r="D41" s="74"/>
      <c r="E41" s="107"/>
      <c r="F41" s="107"/>
      <c r="G41" s="75"/>
      <c r="H41" s="211"/>
      <c r="I41" s="211"/>
      <c r="J41" s="213">
        <f t="shared" si="1"/>
        <v>0</v>
      </c>
      <c r="K41" s="212"/>
      <c r="L41" s="212"/>
      <c r="M41" s="213">
        <f t="shared" si="2"/>
        <v>0</v>
      </c>
      <c r="N41" s="212"/>
      <c r="O41" s="212"/>
      <c r="P41" s="213">
        <f t="shared" si="3"/>
        <v>0</v>
      </c>
      <c r="Q41" s="212"/>
      <c r="R41" s="212"/>
      <c r="S41" s="213">
        <f t="shared" si="4"/>
        <v>0</v>
      </c>
      <c r="T41" s="212"/>
      <c r="U41" s="212"/>
      <c r="V41" s="213">
        <f t="shared" si="5"/>
        <v>0</v>
      </c>
      <c r="W41" s="212"/>
      <c r="X41" s="212"/>
      <c r="Y41" s="221">
        <f t="shared" si="6"/>
        <v>0</v>
      </c>
      <c r="Z41" s="219"/>
      <c r="AA41" s="219"/>
      <c r="AB41" s="220"/>
      <c r="AC41" s="207"/>
    </row>
    <row r="42" spans="2:29" x14ac:dyDescent="0.2">
      <c r="B42" s="499">
        <f t="shared" ref="B42" si="9">B55-1</f>
        <v>2021</v>
      </c>
      <c r="C42" s="79"/>
      <c r="D42" s="66"/>
      <c r="E42" s="104"/>
      <c r="F42" s="104"/>
      <c r="G42" s="67"/>
      <c r="H42" s="197"/>
      <c r="I42" s="197"/>
      <c r="J42" s="199">
        <f t="shared" si="1"/>
        <v>0</v>
      </c>
      <c r="K42" s="198"/>
      <c r="L42" s="198"/>
      <c r="M42" s="199">
        <f t="shared" si="2"/>
        <v>0</v>
      </c>
      <c r="N42" s="198"/>
      <c r="O42" s="198"/>
      <c r="P42" s="199">
        <f t="shared" si="3"/>
        <v>0</v>
      </c>
      <c r="Q42" s="198"/>
      <c r="R42" s="198"/>
      <c r="S42" s="199">
        <f t="shared" si="4"/>
        <v>0</v>
      </c>
      <c r="T42" s="198"/>
      <c r="U42" s="198"/>
      <c r="V42" s="222">
        <f t="shared" si="5"/>
        <v>0</v>
      </c>
      <c r="W42" s="216"/>
      <c r="X42" s="216"/>
      <c r="Y42" s="216"/>
      <c r="Z42" s="216"/>
      <c r="AA42" s="216"/>
      <c r="AB42" s="217"/>
      <c r="AC42" s="207"/>
    </row>
    <row r="43" spans="2:29" x14ac:dyDescent="0.2">
      <c r="B43" s="500"/>
      <c r="C43" s="76"/>
      <c r="D43" s="69"/>
      <c r="E43" s="105"/>
      <c r="F43" s="105"/>
      <c r="G43" s="70"/>
      <c r="H43" s="202"/>
      <c r="I43" s="202"/>
      <c r="J43" s="204">
        <f t="shared" si="1"/>
        <v>0</v>
      </c>
      <c r="K43" s="203"/>
      <c r="L43" s="203"/>
      <c r="M43" s="205">
        <f t="shared" si="2"/>
        <v>0</v>
      </c>
      <c r="N43" s="203"/>
      <c r="O43" s="203"/>
      <c r="P43" s="205">
        <f t="shared" si="3"/>
        <v>0</v>
      </c>
      <c r="Q43" s="203"/>
      <c r="R43" s="203"/>
      <c r="S43" s="205">
        <f t="shared" si="4"/>
        <v>0</v>
      </c>
      <c r="T43" s="203"/>
      <c r="U43" s="203"/>
      <c r="V43" s="215">
        <f t="shared" si="5"/>
        <v>0</v>
      </c>
      <c r="W43" s="216"/>
      <c r="X43" s="216"/>
      <c r="Y43" s="216"/>
      <c r="Z43" s="216"/>
      <c r="AA43" s="216"/>
      <c r="AB43" s="217"/>
      <c r="AC43" s="207"/>
    </row>
    <row r="44" spans="2:29" x14ac:dyDescent="0.2">
      <c r="B44" s="500"/>
      <c r="C44" s="76"/>
      <c r="D44" s="69"/>
      <c r="E44" s="105"/>
      <c r="F44" s="105"/>
      <c r="G44" s="70"/>
      <c r="H44" s="202"/>
      <c r="I44" s="202"/>
      <c r="J44" s="204">
        <f t="shared" si="1"/>
        <v>0</v>
      </c>
      <c r="K44" s="203"/>
      <c r="L44" s="203"/>
      <c r="M44" s="205">
        <f t="shared" si="2"/>
        <v>0</v>
      </c>
      <c r="N44" s="203"/>
      <c r="O44" s="203"/>
      <c r="P44" s="205">
        <f t="shared" si="3"/>
        <v>0</v>
      </c>
      <c r="Q44" s="203"/>
      <c r="R44" s="203"/>
      <c r="S44" s="205">
        <f t="shared" si="4"/>
        <v>0</v>
      </c>
      <c r="T44" s="203"/>
      <c r="U44" s="203"/>
      <c r="V44" s="215">
        <f t="shared" si="5"/>
        <v>0</v>
      </c>
      <c r="W44" s="216"/>
      <c r="X44" s="216"/>
      <c r="Y44" s="216"/>
      <c r="Z44" s="216"/>
      <c r="AA44" s="216"/>
      <c r="AB44" s="217"/>
      <c r="AC44" s="207"/>
    </row>
    <row r="45" spans="2:29" x14ac:dyDescent="0.2">
      <c r="B45" s="500"/>
      <c r="C45" s="76"/>
      <c r="D45" s="69"/>
      <c r="E45" s="105"/>
      <c r="F45" s="105"/>
      <c r="G45" s="70"/>
      <c r="H45" s="202"/>
      <c r="I45" s="202"/>
      <c r="J45" s="204">
        <f t="shared" si="1"/>
        <v>0</v>
      </c>
      <c r="K45" s="203"/>
      <c r="L45" s="203"/>
      <c r="M45" s="205">
        <f t="shared" si="2"/>
        <v>0</v>
      </c>
      <c r="N45" s="203"/>
      <c r="O45" s="203"/>
      <c r="P45" s="205">
        <f t="shared" si="3"/>
        <v>0</v>
      </c>
      <c r="Q45" s="203"/>
      <c r="R45" s="203"/>
      <c r="S45" s="205">
        <f t="shared" si="4"/>
        <v>0</v>
      </c>
      <c r="T45" s="203"/>
      <c r="U45" s="203"/>
      <c r="V45" s="215">
        <f t="shared" si="5"/>
        <v>0</v>
      </c>
      <c r="W45" s="216"/>
      <c r="X45" s="216"/>
      <c r="Y45" s="216"/>
      <c r="Z45" s="216"/>
      <c r="AA45" s="216"/>
      <c r="AB45" s="217"/>
      <c r="AC45" s="207"/>
    </row>
    <row r="46" spans="2:29" x14ac:dyDescent="0.2">
      <c r="B46" s="500"/>
      <c r="C46" s="76"/>
      <c r="D46" s="69"/>
      <c r="E46" s="105"/>
      <c r="F46" s="105"/>
      <c r="G46" s="70"/>
      <c r="H46" s="202"/>
      <c r="I46" s="202"/>
      <c r="J46" s="204">
        <f t="shared" si="1"/>
        <v>0</v>
      </c>
      <c r="K46" s="203"/>
      <c r="L46" s="203"/>
      <c r="M46" s="205">
        <f t="shared" si="2"/>
        <v>0</v>
      </c>
      <c r="N46" s="203"/>
      <c r="O46" s="203"/>
      <c r="P46" s="205">
        <f t="shared" si="3"/>
        <v>0</v>
      </c>
      <c r="Q46" s="203"/>
      <c r="R46" s="203"/>
      <c r="S46" s="205">
        <f t="shared" si="4"/>
        <v>0</v>
      </c>
      <c r="T46" s="203"/>
      <c r="U46" s="203"/>
      <c r="V46" s="215">
        <f t="shared" si="5"/>
        <v>0</v>
      </c>
      <c r="W46" s="216"/>
      <c r="X46" s="216"/>
      <c r="Y46" s="216"/>
      <c r="Z46" s="216"/>
      <c r="AA46" s="216"/>
      <c r="AB46" s="217"/>
      <c r="AC46" s="207"/>
    </row>
    <row r="47" spans="2:29" x14ac:dyDescent="0.2">
      <c r="B47" s="500"/>
      <c r="C47" s="76"/>
      <c r="D47" s="69"/>
      <c r="E47" s="105"/>
      <c r="F47" s="105"/>
      <c r="G47" s="70"/>
      <c r="H47" s="202"/>
      <c r="I47" s="202"/>
      <c r="J47" s="204">
        <f t="shared" si="1"/>
        <v>0</v>
      </c>
      <c r="K47" s="203"/>
      <c r="L47" s="203"/>
      <c r="M47" s="205">
        <f t="shared" si="2"/>
        <v>0</v>
      </c>
      <c r="N47" s="203"/>
      <c r="O47" s="203"/>
      <c r="P47" s="205">
        <f t="shared" si="3"/>
        <v>0</v>
      </c>
      <c r="Q47" s="203"/>
      <c r="R47" s="203"/>
      <c r="S47" s="205">
        <f t="shared" si="4"/>
        <v>0</v>
      </c>
      <c r="T47" s="203"/>
      <c r="U47" s="203"/>
      <c r="V47" s="215">
        <f t="shared" si="5"/>
        <v>0</v>
      </c>
      <c r="W47" s="216"/>
      <c r="X47" s="216"/>
      <c r="Y47" s="216"/>
      <c r="Z47" s="216"/>
      <c r="AA47" s="216"/>
      <c r="AB47" s="217"/>
      <c r="AC47" s="207"/>
    </row>
    <row r="48" spans="2:29" x14ac:dyDescent="0.2">
      <c r="B48" s="500"/>
      <c r="C48" s="76"/>
      <c r="D48" s="69"/>
      <c r="E48" s="105"/>
      <c r="F48" s="105"/>
      <c r="G48" s="70"/>
      <c r="H48" s="202"/>
      <c r="I48" s="202"/>
      <c r="J48" s="204">
        <f t="shared" si="1"/>
        <v>0</v>
      </c>
      <c r="K48" s="203"/>
      <c r="L48" s="203"/>
      <c r="M48" s="205">
        <f t="shared" si="2"/>
        <v>0</v>
      </c>
      <c r="N48" s="203"/>
      <c r="O48" s="203"/>
      <c r="P48" s="205">
        <f t="shared" si="3"/>
        <v>0</v>
      </c>
      <c r="Q48" s="203"/>
      <c r="R48" s="203"/>
      <c r="S48" s="205">
        <f t="shared" si="4"/>
        <v>0</v>
      </c>
      <c r="T48" s="203"/>
      <c r="U48" s="203"/>
      <c r="V48" s="215">
        <f t="shared" si="5"/>
        <v>0</v>
      </c>
      <c r="W48" s="216"/>
      <c r="X48" s="216"/>
      <c r="Y48" s="216"/>
      <c r="Z48" s="216"/>
      <c r="AA48" s="216"/>
      <c r="AB48" s="217"/>
      <c r="AC48" s="207"/>
    </row>
    <row r="49" spans="2:29" x14ac:dyDescent="0.2">
      <c r="B49" s="501"/>
      <c r="C49" s="77"/>
      <c r="D49" s="72"/>
      <c r="E49" s="106"/>
      <c r="F49" s="106"/>
      <c r="G49" s="73"/>
      <c r="H49" s="208"/>
      <c r="I49" s="208"/>
      <c r="J49" s="204">
        <f t="shared" si="1"/>
        <v>0</v>
      </c>
      <c r="K49" s="209"/>
      <c r="L49" s="209"/>
      <c r="M49" s="204">
        <f t="shared" si="2"/>
        <v>0</v>
      </c>
      <c r="N49" s="209"/>
      <c r="O49" s="209"/>
      <c r="P49" s="204">
        <f t="shared" si="3"/>
        <v>0</v>
      </c>
      <c r="Q49" s="209"/>
      <c r="R49" s="209"/>
      <c r="S49" s="204">
        <f t="shared" si="4"/>
        <v>0</v>
      </c>
      <c r="T49" s="209"/>
      <c r="U49" s="209"/>
      <c r="V49" s="218">
        <f t="shared" si="5"/>
        <v>0</v>
      </c>
      <c r="W49" s="219"/>
      <c r="X49" s="219"/>
      <c r="Y49" s="219"/>
      <c r="Z49" s="219"/>
      <c r="AA49" s="219"/>
      <c r="AB49" s="220"/>
      <c r="AC49" s="207"/>
    </row>
    <row r="50" spans="2:29" x14ac:dyDescent="0.2">
      <c r="B50" s="501"/>
      <c r="C50" s="77"/>
      <c r="D50" s="72"/>
      <c r="E50" s="106"/>
      <c r="F50" s="106"/>
      <c r="G50" s="73"/>
      <c r="H50" s="208"/>
      <c r="I50" s="208"/>
      <c r="J50" s="204">
        <f t="shared" si="1"/>
        <v>0</v>
      </c>
      <c r="K50" s="209"/>
      <c r="L50" s="209"/>
      <c r="M50" s="204">
        <f t="shared" si="2"/>
        <v>0</v>
      </c>
      <c r="N50" s="209"/>
      <c r="O50" s="209"/>
      <c r="P50" s="204">
        <f t="shared" si="3"/>
        <v>0</v>
      </c>
      <c r="Q50" s="209"/>
      <c r="R50" s="209"/>
      <c r="S50" s="204">
        <f t="shared" si="4"/>
        <v>0</v>
      </c>
      <c r="T50" s="209"/>
      <c r="U50" s="209"/>
      <c r="V50" s="218">
        <f t="shared" si="5"/>
        <v>0</v>
      </c>
      <c r="W50" s="219"/>
      <c r="X50" s="219"/>
      <c r="Y50" s="219"/>
      <c r="Z50" s="219"/>
      <c r="AA50" s="219"/>
      <c r="AB50" s="220"/>
      <c r="AC50" s="207"/>
    </row>
    <row r="51" spans="2:29" x14ac:dyDescent="0.2">
      <c r="B51" s="501"/>
      <c r="C51" s="77"/>
      <c r="D51" s="72"/>
      <c r="E51" s="106"/>
      <c r="F51" s="106"/>
      <c r="G51" s="73"/>
      <c r="H51" s="208"/>
      <c r="I51" s="208"/>
      <c r="J51" s="204">
        <f t="shared" si="1"/>
        <v>0</v>
      </c>
      <c r="K51" s="209"/>
      <c r="L51" s="209"/>
      <c r="M51" s="204">
        <f t="shared" si="2"/>
        <v>0</v>
      </c>
      <c r="N51" s="209"/>
      <c r="O51" s="209"/>
      <c r="P51" s="204">
        <f t="shared" si="3"/>
        <v>0</v>
      </c>
      <c r="Q51" s="209"/>
      <c r="R51" s="209"/>
      <c r="S51" s="204">
        <f t="shared" si="4"/>
        <v>0</v>
      </c>
      <c r="T51" s="209"/>
      <c r="U51" s="209"/>
      <c r="V51" s="218">
        <f t="shared" si="5"/>
        <v>0</v>
      </c>
      <c r="W51" s="219"/>
      <c r="X51" s="219"/>
      <c r="Y51" s="219"/>
      <c r="Z51" s="219"/>
      <c r="AA51" s="219"/>
      <c r="AB51" s="220"/>
      <c r="AC51" s="207"/>
    </row>
    <row r="52" spans="2:29" x14ac:dyDescent="0.2">
      <c r="B52" s="501"/>
      <c r="C52" s="77"/>
      <c r="D52" s="72"/>
      <c r="E52" s="106"/>
      <c r="F52" s="106"/>
      <c r="G52" s="73"/>
      <c r="H52" s="208"/>
      <c r="I52" s="208"/>
      <c r="J52" s="204">
        <f t="shared" si="1"/>
        <v>0</v>
      </c>
      <c r="K52" s="209"/>
      <c r="L52" s="209"/>
      <c r="M52" s="204">
        <f t="shared" si="2"/>
        <v>0</v>
      </c>
      <c r="N52" s="209"/>
      <c r="O52" s="209"/>
      <c r="P52" s="204">
        <f t="shared" si="3"/>
        <v>0</v>
      </c>
      <c r="Q52" s="209"/>
      <c r="R52" s="209"/>
      <c r="S52" s="204">
        <f t="shared" si="4"/>
        <v>0</v>
      </c>
      <c r="T52" s="209"/>
      <c r="U52" s="209"/>
      <c r="V52" s="218">
        <f t="shared" si="5"/>
        <v>0</v>
      </c>
      <c r="W52" s="219"/>
      <c r="X52" s="219"/>
      <c r="Y52" s="219"/>
      <c r="Z52" s="219"/>
      <c r="AA52" s="219"/>
      <c r="AB52" s="220"/>
      <c r="AC52" s="207"/>
    </row>
    <row r="53" spans="2:29" x14ac:dyDescent="0.2">
      <c r="B53" s="501"/>
      <c r="C53" s="77"/>
      <c r="D53" s="72"/>
      <c r="E53" s="106"/>
      <c r="F53" s="106"/>
      <c r="G53" s="73"/>
      <c r="H53" s="208"/>
      <c r="I53" s="208"/>
      <c r="J53" s="204">
        <f t="shared" si="1"/>
        <v>0</v>
      </c>
      <c r="K53" s="209"/>
      <c r="L53" s="209"/>
      <c r="M53" s="204">
        <f t="shared" si="2"/>
        <v>0</v>
      </c>
      <c r="N53" s="209"/>
      <c r="O53" s="209"/>
      <c r="P53" s="204">
        <f t="shared" si="3"/>
        <v>0</v>
      </c>
      <c r="Q53" s="209"/>
      <c r="R53" s="209"/>
      <c r="S53" s="204">
        <f t="shared" si="4"/>
        <v>0</v>
      </c>
      <c r="T53" s="209"/>
      <c r="U53" s="209"/>
      <c r="V53" s="218">
        <f t="shared" si="5"/>
        <v>0</v>
      </c>
      <c r="W53" s="219"/>
      <c r="X53" s="219"/>
      <c r="Y53" s="219"/>
      <c r="Z53" s="219"/>
      <c r="AA53" s="219"/>
      <c r="AB53" s="220"/>
      <c r="AC53" s="207"/>
    </row>
    <row r="54" spans="2:29" ht="13.5" thickBot="1" x14ac:dyDescent="0.25">
      <c r="B54" s="502"/>
      <c r="C54" s="80"/>
      <c r="D54" s="81"/>
      <c r="E54" s="108"/>
      <c r="F54" s="108"/>
      <c r="G54" s="82"/>
      <c r="H54" s="223"/>
      <c r="I54" s="223"/>
      <c r="J54" s="224">
        <f t="shared" si="1"/>
        <v>0</v>
      </c>
      <c r="K54" s="225"/>
      <c r="L54" s="225"/>
      <c r="M54" s="224">
        <f t="shared" si="2"/>
        <v>0</v>
      </c>
      <c r="N54" s="225"/>
      <c r="O54" s="225"/>
      <c r="P54" s="224">
        <f t="shared" si="3"/>
        <v>0</v>
      </c>
      <c r="Q54" s="225"/>
      <c r="R54" s="225"/>
      <c r="S54" s="224">
        <f t="shared" si="4"/>
        <v>0</v>
      </c>
      <c r="T54" s="225"/>
      <c r="U54" s="225"/>
      <c r="V54" s="226">
        <f t="shared" si="5"/>
        <v>0</v>
      </c>
      <c r="W54" s="219"/>
      <c r="X54" s="219"/>
      <c r="Y54" s="219"/>
      <c r="Z54" s="219"/>
      <c r="AA54" s="219"/>
      <c r="AB54" s="220"/>
      <c r="AC54" s="207"/>
    </row>
    <row r="55" spans="2:29" x14ac:dyDescent="0.2">
      <c r="B55" s="499">
        <f t="shared" ref="B55" si="10">B68-1</f>
        <v>2022</v>
      </c>
      <c r="C55" s="79"/>
      <c r="D55" s="66"/>
      <c r="E55" s="104"/>
      <c r="F55" s="104"/>
      <c r="G55" s="67"/>
      <c r="H55" s="197"/>
      <c r="I55" s="197"/>
      <c r="J55" s="199">
        <f t="shared" si="1"/>
        <v>0</v>
      </c>
      <c r="K55" s="198"/>
      <c r="L55" s="198"/>
      <c r="M55" s="199">
        <f t="shared" si="2"/>
        <v>0</v>
      </c>
      <c r="N55" s="198"/>
      <c r="O55" s="198"/>
      <c r="P55" s="199">
        <f t="shared" si="3"/>
        <v>0</v>
      </c>
      <c r="Q55" s="198"/>
      <c r="R55" s="198"/>
      <c r="S55" s="222">
        <f t="shared" si="4"/>
        <v>0</v>
      </c>
      <c r="T55" s="216"/>
      <c r="U55" s="216"/>
      <c r="V55" s="216"/>
      <c r="W55" s="216"/>
      <c r="X55" s="216"/>
      <c r="Y55" s="216"/>
      <c r="Z55" s="216"/>
      <c r="AA55" s="216"/>
      <c r="AB55" s="217"/>
      <c r="AC55" s="207"/>
    </row>
    <row r="56" spans="2:29" x14ac:dyDescent="0.2">
      <c r="B56" s="500"/>
      <c r="C56" s="76"/>
      <c r="D56" s="69"/>
      <c r="E56" s="105"/>
      <c r="F56" s="105"/>
      <c r="G56" s="70"/>
      <c r="H56" s="202"/>
      <c r="I56" s="202"/>
      <c r="J56" s="204">
        <f t="shared" si="1"/>
        <v>0</v>
      </c>
      <c r="K56" s="203"/>
      <c r="L56" s="203"/>
      <c r="M56" s="205">
        <f t="shared" si="2"/>
        <v>0</v>
      </c>
      <c r="N56" s="203"/>
      <c r="O56" s="203"/>
      <c r="P56" s="205">
        <f t="shared" si="3"/>
        <v>0</v>
      </c>
      <c r="Q56" s="203"/>
      <c r="R56" s="203"/>
      <c r="S56" s="215">
        <f t="shared" si="4"/>
        <v>0</v>
      </c>
      <c r="T56" s="216"/>
      <c r="U56" s="216"/>
      <c r="V56" s="216"/>
      <c r="W56" s="216"/>
      <c r="X56" s="216"/>
      <c r="Y56" s="216"/>
      <c r="Z56" s="216"/>
      <c r="AA56" s="216"/>
      <c r="AB56" s="217"/>
      <c r="AC56" s="207"/>
    </row>
    <row r="57" spans="2:29" x14ac:dyDescent="0.2">
      <c r="B57" s="500"/>
      <c r="C57" s="76"/>
      <c r="D57" s="69"/>
      <c r="E57" s="105"/>
      <c r="F57" s="105"/>
      <c r="G57" s="70"/>
      <c r="H57" s="202"/>
      <c r="I57" s="202"/>
      <c r="J57" s="204">
        <f t="shared" si="1"/>
        <v>0</v>
      </c>
      <c r="K57" s="203"/>
      <c r="L57" s="203"/>
      <c r="M57" s="205">
        <f t="shared" si="2"/>
        <v>0</v>
      </c>
      <c r="N57" s="203"/>
      <c r="O57" s="203"/>
      <c r="P57" s="205">
        <f t="shared" si="3"/>
        <v>0</v>
      </c>
      <c r="Q57" s="203"/>
      <c r="R57" s="203"/>
      <c r="S57" s="215">
        <f t="shared" si="4"/>
        <v>0</v>
      </c>
      <c r="T57" s="216"/>
      <c r="U57" s="216"/>
      <c r="V57" s="216"/>
      <c r="W57" s="216"/>
      <c r="X57" s="216"/>
      <c r="Y57" s="216"/>
      <c r="Z57" s="216"/>
      <c r="AA57" s="216"/>
      <c r="AB57" s="217"/>
      <c r="AC57" s="207"/>
    </row>
    <row r="58" spans="2:29" x14ac:dyDescent="0.2">
      <c r="B58" s="500"/>
      <c r="C58" s="76"/>
      <c r="D58" s="69"/>
      <c r="E58" s="105"/>
      <c r="F58" s="105"/>
      <c r="G58" s="70"/>
      <c r="H58" s="202"/>
      <c r="I58" s="202"/>
      <c r="J58" s="204">
        <f t="shared" si="1"/>
        <v>0</v>
      </c>
      <c r="K58" s="203"/>
      <c r="L58" s="203"/>
      <c r="M58" s="205">
        <f t="shared" si="2"/>
        <v>0</v>
      </c>
      <c r="N58" s="203"/>
      <c r="O58" s="203"/>
      <c r="P58" s="205">
        <f t="shared" si="3"/>
        <v>0</v>
      </c>
      <c r="Q58" s="203"/>
      <c r="R58" s="203"/>
      <c r="S58" s="215">
        <f t="shared" si="4"/>
        <v>0</v>
      </c>
      <c r="T58" s="216"/>
      <c r="U58" s="216"/>
      <c r="V58" s="216"/>
      <c r="W58" s="216"/>
      <c r="X58" s="216"/>
      <c r="Y58" s="216"/>
      <c r="Z58" s="216"/>
      <c r="AA58" s="216"/>
      <c r="AB58" s="217"/>
      <c r="AC58" s="207"/>
    </row>
    <row r="59" spans="2:29" x14ac:dyDescent="0.2">
      <c r="B59" s="500"/>
      <c r="C59" s="76"/>
      <c r="D59" s="69"/>
      <c r="E59" s="105"/>
      <c r="F59" s="105"/>
      <c r="G59" s="70"/>
      <c r="H59" s="202"/>
      <c r="I59" s="202"/>
      <c r="J59" s="204">
        <f t="shared" si="1"/>
        <v>0</v>
      </c>
      <c r="K59" s="203"/>
      <c r="L59" s="203"/>
      <c r="M59" s="205">
        <f t="shared" si="2"/>
        <v>0</v>
      </c>
      <c r="N59" s="203"/>
      <c r="O59" s="203"/>
      <c r="P59" s="205">
        <f t="shared" si="3"/>
        <v>0</v>
      </c>
      <c r="Q59" s="203"/>
      <c r="R59" s="203"/>
      <c r="S59" s="215">
        <f t="shared" si="4"/>
        <v>0</v>
      </c>
      <c r="T59" s="216"/>
      <c r="U59" s="216"/>
      <c r="V59" s="216"/>
      <c r="W59" s="216"/>
      <c r="X59" s="216"/>
      <c r="Y59" s="216"/>
      <c r="Z59" s="216"/>
      <c r="AA59" s="216"/>
      <c r="AB59" s="217"/>
      <c r="AC59" s="207"/>
    </row>
    <row r="60" spans="2:29" x14ac:dyDescent="0.2">
      <c r="B60" s="500"/>
      <c r="C60" s="76"/>
      <c r="D60" s="69"/>
      <c r="E60" s="105"/>
      <c r="F60" s="105"/>
      <c r="G60" s="70"/>
      <c r="H60" s="202"/>
      <c r="I60" s="202"/>
      <c r="J60" s="204">
        <f t="shared" si="1"/>
        <v>0</v>
      </c>
      <c r="K60" s="203"/>
      <c r="L60" s="203"/>
      <c r="M60" s="205">
        <f t="shared" si="2"/>
        <v>0</v>
      </c>
      <c r="N60" s="203"/>
      <c r="O60" s="203"/>
      <c r="P60" s="205">
        <f t="shared" si="3"/>
        <v>0</v>
      </c>
      <c r="Q60" s="203"/>
      <c r="R60" s="203"/>
      <c r="S60" s="215">
        <f t="shared" si="4"/>
        <v>0</v>
      </c>
      <c r="T60" s="216"/>
      <c r="U60" s="216"/>
      <c r="V60" s="216"/>
      <c r="W60" s="216"/>
      <c r="X60" s="216"/>
      <c r="Y60" s="216"/>
      <c r="Z60" s="216"/>
      <c r="AA60" s="216"/>
      <c r="AB60" s="217"/>
      <c r="AC60" s="207"/>
    </row>
    <row r="61" spans="2:29" x14ac:dyDescent="0.2">
      <c r="B61" s="500"/>
      <c r="C61" s="76"/>
      <c r="D61" s="69"/>
      <c r="E61" s="105"/>
      <c r="F61" s="105"/>
      <c r="G61" s="70"/>
      <c r="H61" s="202"/>
      <c r="I61" s="202"/>
      <c r="J61" s="204">
        <f t="shared" si="1"/>
        <v>0</v>
      </c>
      <c r="K61" s="203"/>
      <c r="L61" s="203"/>
      <c r="M61" s="205">
        <f t="shared" si="2"/>
        <v>0</v>
      </c>
      <c r="N61" s="203"/>
      <c r="O61" s="203"/>
      <c r="P61" s="205">
        <f t="shared" si="3"/>
        <v>0</v>
      </c>
      <c r="Q61" s="203"/>
      <c r="R61" s="203"/>
      <c r="S61" s="215">
        <f t="shared" si="4"/>
        <v>0</v>
      </c>
      <c r="T61" s="216"/>
      <c r="U61" s="216"/>
      <c r="V61" s="216"/>
      <c r="W61" s="216"/>
      <c r="X61" s="216"/>
      <c r="Y61" s="216"/>
      <c r="Z61" s="216"/>
      <c r="AA61" s="216"/>
      <c r="AB61" s="217"/>
      <c r="AC61" s="207"/>
    </row>
    <row r="62" spans="2:29" x14ac:dyDescent="0.2">
      <c r="B62" s="501"/>
      <c r="C62" s="77"/>
      <c r="D62" s="72"/>
      <c r="E62" s="106"/>
      <c r="F62" s="106"/>
      <c r="G62" s="73"/>
      <c r="H62" s="208"/>
      <c r="I62" s="208"/>
      <c r="J62" s="204">
        <f t="shared" si="1"/>
        <v>0</v>
      </c>
      <c r="K62" s="209"/>
      <c r="L62" s="209"/>
      <c r="M62" s="204">
        <f t="shared" si="2"/>
        <v>0</v>
      </c>
      <c r="N62" s="209"/>
      <c r="O62" s="209"/>
      <c r="P62" s="204">
        <f t="shared" si="3"/>
        <v>0</v>
      </c>
      <c r="Q62" s="209"/>
      <c r="R62" s="209"/>
      <c r="S62" s="218">
        <f t="shared" si="4"/>
        <v>0</v>
      </c>
      <c r="T62" s="219"/>
      <c r="U62" s="219"/>
      <c r="V62" s="219"/>
      <c r="W62" s="219"/>
      <c r="X62" s="219"/>
      <c r="Y62" s="219"/>
      <c r="Z62" s="219"/>
      <c r="AA62" s="219"/>
      <c r="AB62" s="220"/>
      <c r="AC62" s="207"/>
    </row>
    <row r="63" spans="2:29" x14ac:dyDescent="0.2">
      <c r="B63" s="501"/>
      <c r="C63" s="77"/>
      <c r="D63" s="72"/>
      <c r="E63" s="106"/>
      <c r="F63" s="106"/>
      <c r="G63" s="73"/>
      <c r="H63" s="208"/>
      <c r="I63" s="208"/>
      <c r="J63" s="204">
        <f t="shared" si="1"/>
        <v>0</v>
      </c>
      <c r="K63" s="209"/>
      <c r="L63" s="209"/>
      <c r="M63" s="204">
        <f t="shared" si="2"/>
        <v>0</v>
      </c>
      <c r="N63" s="209"/>
      <c r="O63" s="209"/>
      <c r="P63" s="204">
        <f t="shared" si="3"/>
        <v>0</v>
      </c>
      <c r="Q63" s="209"/>
      <c r="R63" s="209"/>
      <c r="S63" s="218">
        <f t="shared" si="4"/>
        <v>0</v>
      </c>
      <c r="T63" s="219"/>
      <c r="U63" s="219"/>
      <c r="V63" s="219"/>
      <c r="W63" s="219"/>
      <c r="X63" s="219"/>
      <c r="Y63" s="219"/>
      <c r="Z63" s="219"/>
      <c r="AA63" s="219"/>
      <c r="AB63" s="220"/>
      <c r="AC63" s="207"/>
    </row>
    <row r="64" spans="2:29" x14ac:dyDescent="0.2">
      <c r="B64" s="501"/>
      <c r="C64" s="77"/>
      <c r="D64" s="72"/>
      <c r="E64" s="106"/>
      <c r="F64" s="106"/>
      <c r="G64" s="73"/>
      <c r="H64" s="208"/>
      <c r="I64" s="208"/>
      <c r="J64" s="204">
        <f t="shared" si="1"/>
        <v>0</v>
      </c>
      <c r="K64" s="209"/>
      <c r="L64" s="209"/>
      <c r="M64" s="204">
        <f t="shared" si="2"/>
        <v>0</v>
      </c>
      <c r="N64" s="209"/>
      <c r="O64" s="209"/>
      <c r="P64" s="204">
        <f t="shared" si="3"/>
        <v>0</v>
      </c>
      <c r="Q64" s="209"/>
      <c r="R64" s="209"/>
      <c r="S64" s="218">
        <f t="shared" si="4"/>
        <v>0</v>
      </c>
      <c r="T64" s="219"/>
      <c r="U64" s="219"/>
      <c r="V64" s="219"/>
      <c r="W64" s="219"/>
      <c r="X64" s="219"/>
      <c r="Y64" s="219"/>
      <c r="Z64" s="219"/>
      <c r="AA64" s="219"/>
      <c r="AB64" s="220"/>
      <c r="AC64" s="207"/>
    </row>
    <row r="65" spans="2:29" x14ac:dyDescent="0.2">
      <c r="B65" s="501"/>
      <c r="C65" s="77"/>
      <c r="D65" s="72"/>
      <c r="E65" s="106"/>
      <c r="F65" s="106"/>
      <c r="G65" s="73"/>
      <c r="H65" s="208"/>
      <c r="I65" s="208"/>
      <c r="J65" s="204">
        <f t="shared" si="1"/>
        <v>0</v>
      </c>
      <c r="K65" s="209"/>
      <c r="L65" s="209"/>
      <c r="M65" s="204">
        <f t="shared" si="2"/>
        <v>0</v>
      </c>
      <c r="N65" s="209"/>
      <c r="O65" s="209"/>
      <c r="P65" s="204">
        <f t="shared" si="3"/>
        <v>0</v>
      </c>
      <c r="Q65" s="209"/>
      <c r="R65" s="209"/>
      <c r="S65" s="218">
        <f t="shared" si="4"/>
        <v>0</v>
      </c>
      <c r="T65" s="219"/>
      <c r="U65" s="219"/>
      <c r="V65" s="219"/>
      <c r="W65" s="219"/>
      <c r="X65" s="219"/>
      <c r="Y65" s="219"/>
      <c r="Z65" s="219"/>
      <c r="AA65" s="219"/>
      <c r="AB65" s="220"/>
      <c r="AC65" s="207"/>
    </row>
    <row r="66" spans="2:29" x14ac:dyDescent="0.2">
      <c r="B66" s="501"/>
      <c r="C66" s="77"/>
      <c r="D66" s="72"/>
      <c r="E66" s="106"/>
      <c r="F66" s="106"/>
      <c r="G66" s="73"/>
      <c r="H66" s="208"/>
      <c r="I66" s="208"/>
      <c r="J66" s="204">
        <f t="shared" si="1"/>
        <v>0</v>
      </c>
      <c r="K66" s="209"/>
      <c r="L66" s="209"/>
      <c r="M66" s="204">
        <f t="shared" si="2"/>
        <v>0</v>
      </c>
      <c r="N66" s="209"/>
      <c r="O66" s="209"/>
      <c r="P66" s="204">
        <f t="shared" si="3"/>
        <v>0</v>
      </c>
      <c r="Q66" s="209"/>
      <c r="R66" s="209"/>
      <c r="S66" s="218">
        <f t="shared" si="4"/>
        <v>0</v>
      </c>
      <c r="T66" s="219"/>
      <c r="U66" s="219"/>
      <c r="V66" s="219"/>
      <c r="W66" s="219"/>
      <c r="X66" s="219"/>
      <c r="Y66" s="219"/>
      <c r="Z66" s="219"/>
      <c r="AA66" s="219"/>
      <c r="AB66" s="220"/>
      <c r="AC66" s="207"/>
    </row>
    <row r="67" spans="2:29" ht="13.5" thickBot="1" x14ac:dyDescent="0.25">
      <c r="B67" s="502"/>
      <c r="C67" s="78"/>
      <c r="D67" s="74"/>
      <c r="E67" s="107"/>
      <c r="F67" s="107"/>
      <c r="G67" s="75"/>
      <c r="H67" s="211"/>
      <c r="I67" s="211"/>
      <c r="J67" s="213">
        <f t="shared" si="1"/>
        <v>0</v>
      </c>
      <c r="K67" s="212"/>
      <c r="L67" s="212"/>
      <c r="M67" s="213">
        <f t="shared" si="2"/>
        <v>0</v>
      </c>
      <c r="N67" s="212"/>
      <c r="O67" s="212"/>
      <c r="P67" s="213">
        <f t="shared" si="3"/>
        <v>0</v>
      </c>
      <c r="Q67" s="212"/>
      <c r="R67" s="212"/>
      <c r="S67" s="221">
        <f t="shared" si="4"/>
        <v>0</v>
      </c>
      <c r="T67" s="219"/>
      <c r="U67" s="219"/>
      <c r="V67" s="219"/>
      <c r="W67" s="219"/>
      <c r="X67" s="219"/>
      <c r="Y67" s="219"/>
      <c r="Z67" s="219"/>
      <c r="AA67" s="219"/>
      <c r="AB67" s="220"/>
      <c r="AC67" s="207"/>
    </row>
    <row r="68" spans="2:29" x14ac:dyDescent="0.2">
      <c r="B68" s="499">
        <f>B81-1</f>
        <v>2023</v>
      </c>
      <c r="C68" s="79"/>
      <c r="D68" s="66"/>
      <c r="E68" s="104"/>
      <c r="F68" s="104"/>
      <c r="G68" s="67"/>
      <c r="H68" s="197"/>
      <c r="I68" s="197"/>
      <c r="J68" s="199">
        <f t="shared" si="1"/>
        <v>0</v>
      </c>
      <c r="K68" s="198"/>
      <c r="L68" s="198"/>
      <c r="M68" s="199">
        <f t="shared" si="2"/>
        <v>0</v>
      </c>
      <c r="N68" s="198"/>
      <c r="O68" s="198"/>
      <c r="P68" s="222">
        <f t="shared" si="3"/>
        <v>0</v>
      </c>
      <c r="Q68" s="216"/>
      <c r="R68" s="216"/>
      <c r="S68" s="216"/>
      <c r="T68" s="216"/>
      <c r="U68" s="216"/>
      <c r="V68" s="216"/>
      <c r="W68" s="216"/>
      <c r="X68" s="216"/>
      <c r="Y68" s="216"/>
      <c r="Z68" s="216"/>
      <c r="AA68" s="216"/>
      <c r="AB68" s="217"/>
      <c r="AC68" s="207"/>
    </row>
    <row r="69" spans="2:29" x14ac:dyDescent="0.2">
      <c r="B69" s="500"/>
      <c r="C69" s="76"/>
      <c r="D69" s="69"/>
      <c r="E69" s="105"/>
      <c r="F69" s="105"/>
      <c r="G69" s="70"/>
      <c r="H69" s="202"/>
      <c r="I69" s="202"/>
      <c r="J69" s="204">
        <f t="shared" si="1"/>
        <v>0</v>
      </c>
      <c r="K69" s="203"/>
      <c r="L69" s="203"/>
      <c r="M69" s="205">
        <f t="shared" si="2"/>
        <v>0</v>
      </c>
      <c r="N69" s="203"/>
      <c r="O69" s="203"/>
      <c r="P69" s="215">
        <f t="shared" si="3"/>
        <v>0</v>
      </c>
      <c r="Q69" s="216"/>
      <c r="R69" s="216"/>
      <c r="S69" s="216"/>
      <c r="T69" s="216"/>
      <c r="U69" s="216"/>
      <c r="V69" s="216"/>
      <c r="W69" s="216"/>
      <c r="X69" s="216"/>
      <c r="Y69" s="216"/>
      <c r="Z69" s="216"/>
      <c r="AA69" s="216"/>
      <c r="AB69" s="217"/>
      <c r="AC69" s="207"/>
    </row>
    <row r="70" spans="2:29" x14ac:dyDescent="0.2">
      <c r="B70" s="500"/>
      <c r="C70" s="76"/>
      <c r="D70" s="69"/>
      <c r="E70" s="105"/>
      <c r="F70" s="105"/>
      <c r="G70" s="70"/>
      <c r="H70" s="202"/>
      <c r="I70" s="202"/>
      <c r="J70" s="204">
        <f t="shared" si="1"/>
        <v>0</v>
      </c>
      <c r="K70" s="203"/>
      <c r="L70" s="203"/>
      <c r="M70" s="205">
        <f t="shared" si="2"/>
        <v>0</v>
      </c>
      <c r="N70" s="203"/>
      <c r="O70" s="203"/>
      <c r="P70" s="215">
        <f t="shared" si="3"/>
        <v>0</v>
      </c>
      <c r="Q70" s="216"/>
      <c r="R70" s="216"/>
      <c r="S70" s="216"/>
      <c r="T70" s="216"/>
      <c r="U70" s="216"/>
      <c r="V70" s="216"/>
      <c r="W70" s="216"/>
      <c r="X70" s="216"/>
      <c r="Y70" s="216"/>
      <c r="Z70" s="216"/>
      <c r="AA70" s="216"/>
      <c r="AB70" s="217"/>
      <c r="AC70" s="207"/>
    </row>
    <row r="71" spans="2:29" x14ac:dyDescent="0.2">
      <c r="B71" s="500"/>
      <c r="C71" s="76"/>
      <c r="D71" s="69"/>
      <c r="E71" s="105"/>
      <c r="F71" s="105"/>
      <c r="G71" s="70"/>
      <c r="H71" s="202"/>
      <c r="I71" s="202"/>
      <c r="J71" s="204">
        <f t="shared" si="1"/>
        <v>0</v>
      </c>
      <c r="K71" s="203"/>
      <c r="L71" s="203"/>
      <c r="M71" s="205">
        <f t="shared" si="2"/>
        <v>0</v>
      </c>
      <c r="N71" s="203"/>
      <c r="O71" s="203"/>
      <c r="P71" s="215">
        <f t="shared" si="3"/>
        <v>0</v>
      </c>
      <c r="Q71" s="216"/>
      <c r="R71" s="216"/>
      <c r="S71" s="216"/>
      <c r="T71" s="216"/>
      <c r="U71" s="216"/>
      <c r="V71" s="216"/>
      <c r="W71" s="216"/>
      <c r="X71" s="216"/>
      <c r="Y71" s="216"/>
      <c r="Z71" s="216"/>
      <c r="AA71" s="216"/>
      <c r="AB71" s="217"/>
      <c r="AC71" s="207"/>
    </row>
    <row r="72" spans="2:29" x14ac:dyDescent="0.2">
      <c r="B72" s="500"/>
      <c r="C72" s="76"/>
      <c r="D72" s="69"/>
      <c r="E72" s="105"/>
      <c r="F72" s="105"/>
      <c r="G72" s="70"/>
      <c r="H72" s="202"/>
      <c r="I72" s="202"/>
      <c r="J72" s="204">
        <f t="shared" si="1"/>
        <v>0</v>
      </c>
      <c r="K72" s="203"/>
      <c r="L72" s="203"/>
      <c r="M72" s="205">
        <f t="shared" si="2"/>
        <v>0</v>
      </c>
      <c r="N72" s="203"/>
      <c r="O72" s="203"/>
      <c r="P72" s="215">
        <f t="shared" si="3"/>
        <v>0</v>
      </c>
      <c r="Q72" s="216"/>
      <c r="R72" s="216"/>
      <c r="S72" s="216"/>
      <c r="T72" s="216"/>
      <c r="U72" s="216"/>
      <c r="V72" s="216"/>
      <c r="W72" s="216"/>
      <c r="X72" s="216"/>
      <c r="Y72" s="216"/>
      <c r="Z72" s="216"/>
      <c r="AA72" s="216"/>
      <c r="AB72" s="217"/>
      <c r="AC72" s="207"/>
    </row>
    <row r="73" spans="2:29" x14ac:dyDescent="0.2">
      <c r="B73" s="500"/>
      <c r="C73" s="76"/>
      <c r="D73" s="69"/>
      <c r="E73" s="105"/>
      <c r="F73" s="105"/>
      <c r="G73" s="70"/>
      <c r="H73" s="202"/>
      <c r="I73" s="202"/>
      <c r="J73" s="204">
        <f t="shared" si="1"/>
        <v>0</v>
      </c>
      <c r="K73" s="203"/>
      <c r="L73" s="203"/>
      <c r="M73" s="205">
        <f t="shared" si="2"/>
        <v>0</v>
      </c>
      <c r="N73" s="203"/>
      <c r="O73" s="203"/>
      <c r="P73" s="215">
        <f t="shared" si="3"/>
        <v>0</v>
      </c>
      <c r="Q73" s="216"/>
      <c r="R73" s="216"/>
      <c r="S73" s="216"/>
      <c r="T73" s="216"/>
      <c r="U73" s="216"/>
      <c r="V73" s="216"/>
      <c r="W73" s="216"/>
      <c r="X73" s="216"/>
      <c r="Y73" s="216"/>
      <c r="Z73" s="216"/>
      <c r="AA73" s="216"/>
      <c r="AB73" s="217"/>
      <c r="AC73" s="207"/>
    </row>
    <row r="74" spans="2:29" x14ac:dyDescent="0.2">
      <c r="B74" s="500"/>
      <c r="C74" s="76"/>
      <c r="D74" s="69"/>
      <c r="E74" s="105"/>
      <c r="F74" s="105"/>
      <c r="G74" s="70"/>
      <c r="H74" s="202"/>
      <c r="I74" s="202"/>
      <c r="J74" s="204">
        <f t="shared" si="1"/>
        <v>0</v>
      </c>
      <c r="K74" s="203"/>
      <c r="L74" s="203"/>
      <c r="M74" s="205">
        <f t="shared" si="2"/>
        <v>0</v>
      </c>
      <c r="N74" s="203"/>
      <c r="O74" s="203"/>
      <c r="P74" s="215">
        <f t="shared" si="3"/>
        <v>0</v>
      </c>
      <c r="Q74" s="216"/>
      <c r="R74" s="216"/>
      <c r="S74" s="216"/>
      <c r="T74" s="216"/>
      <c r="U74" s="216"/>
      <c r="V74" s="216"/>
      <c r="W74" s="216"/>
      <c r="X74" s="216"/>
      <c r="Y74" s="216"/>
      <c r="Z74" s="216"/>
      <c r="AA74" s="216"/>
      <c r="AB74" s="217"/>
      <c r="AC74" s="207"/>
    </row>
    <row r="75" spans="2:29" x14ac:dyDescent="0.2">
      <c r="B75" s="501"/>
      <c r="C75" s="77"/>
      <c r="D75" s="72"/>
      <c r="E75" s="106"/>
      <c r="F75" s="106"/>
      <c r="G75" s="73"/>
      <c r="H75" s="208"/>
      <c r="I75" s="208"/>
      <c r="J75" s="204">
        <f t="shared" si="1"/>
        <v>0</v>
      </c>
      <c r="K75" s="209"/>
      <c r="L75" s="209"/>
      <c r="M75" s="204">
        <f t="shared" si="2"/>
        <v>0</v>
      </c>
      <c r="N75" s="209"/>
      <c r="O75" s="209"/>
      <c r="P75" s="218">
        <f t="shared" si="3"/>
        <v>0</v>
      </c>
      <c r="Q75" s="219"/>
      <c r="R75" s="219"/>
      <c r="S75" s="219"/>
      <c r="T75" s="219"/>
      <c r="U75" s="219"/>
      <c r="V75" s="219"/>
      <c r="W75" s="219"/>
      <c r="X75" s="219"/>
      <c r="Y75" s="219"/>
      <c r="Z75" s="219"/>
      <c r="AA75" s="219"/>
      <c r="AB75" s="220"/>
      <c r="AC75" s="207"/>
    </row>
    <row r="76" spans="2:29" x14ac:dyDescent="0.2">
      <c r="B76" s="501"/>
      <c r="C76" s="77"/>
      <c r="D76" s="72"/>
      <c r="E76" s="106"/>
      <c r="F76" s="106"/>
      <c r="G76" s="73"/>
      <c r="H76" s="208"/>
      <c r="I76" s="208"/>
      <c r="J76" s="204">
        <f t="shared" si="1"/>
        <v>0</v>
      </c>
      <c r="K76" s="209"/>
      <c r="L76" s="209"/>
      <c r="M76" s="204">
        <f t="shared" si="2"/>
        <v>0</v>
      </c>
      <c r="N76" s="209"/>
      <c r="O76" s="209"/>
      <c r="P76" s="218">
        <f t="shared" si="3"/>
        <v>0</v>
      </c>
      <c r="Q76" s="219"/>
      <c r="R76" s="219"/>
      <c r="S76" s="219"/>
      <c r="T76" s="219"/>
      <c r="U76" s="219"/>
      <c r="V76" s="219"/>
      <c r="W76" s="219"/>
      <c r="X76" s="219"/>
      <c r="Y76" s="219"/>
      <c r="Z76" s="219"/>
      <c r="AA76" s="219"/>
      <c r="AB76" s="220"/>
      <c r="AC76" s="207"/>
    </row>
    <row r="77" spans="2:29" x14ac:dyDescent="0.2">
      <c r="B77" s="501"/>
      <c r="C77" s="77"/>
      <c r="D77" s="72"/>
      <c r="E77" s="106"/>
      <c r="F77" s="106"/>
      <c r="G77" s="73"/>
      <c r="H77" s="208"/>
      <c r="I77" s="208"/>
      <c r="J77" s="204">
        <f t="shared" si="1"/>
        <v>0</v>
      </c>
      <c r="K77" s="209"/>
      <c r="L77" s="209"/>
      <c r="M77" s="204">
        <f t="shared" si="2"/>
        <v>0</v>
      </c>
      <c r="N77" s="209"/>
      <c r="O77" s="209"/>
      <c r="P77" s="218">
        <f t="shared" si="3"/>
        <v>0</v>
      </c>
      <c r="Q77" s="219"/>
      <c r="R77" s="219"/>
      <c r="S77" s="219"/>
      <c r="T77" s="219"/>
      <c r="U77" s="219"/>
      <c r="V77" s="219"/>
      <c r="W77" s="219"/>
      <c r="X77" s="219"/>
      <c r="Y77" s="219"/>
      <c r="Z77" s="219"/>
      <c r="AA77" s="219"/>
      <c r="AB77" s="220"/>
      <c r="AC77" s="207"/>
    </row>
    <row r="78" spans="2:29" x14ac:dyDescent="0.2">
      <c r="B78" s="501"/>
      <c r="C78" s="77"/>
      <c r="D78" s="72"/>
      <c r="E78" s="106"/>
      <c r="F78" s="106"/>
      <c r="G78" s="73"/>
      <c r="H78" s="208"/>
      <c r="I78" s="208"/>
      <c r="J78" s="204">
        <f t="shared" si="1"/>
        <v>0</v>
      </c>
      <c r="K78" s="209"/>
      <c r="L78" s="209"/>
      <c r="M78" s="204">
        <f t="shared" si="2"/>
        <v>0</v>
      </c>
      <c r="N78" s="209"/>
      <c r="O78" s="209"/>
      <c r="P78" s="218">
        <f t="shared" si="3"/>
        <v>0</v>
      </c>
      <c r="Q78" s="219"/>
      <c r="R78" s="219"/>
      <c r="S78" s="219"/>
      <c r="T78" s="219"/>
      <c r="U78" s="219"/>
      <c r="V78" s="219"/>
      <c r="W78" s="219"/>
      <c r="X78" s="219"/>
      <c r="Y78" s="219"/>
      <c r="Z78" s="219"/>
      <c r="AA78" s="219"/>
      <c r="AB78" s="220"/>
      <c r="AC78" s="207"/>
    </row>
    <row r="79" spans="2:29" x14ac:dyDescent="0.2">
      <c r="B79" s="501"/>
      <c r="C79" s="77"/>
      <c r="D79" s="72"/>
      <c r="E79" s="106"/>
      <c r="F79" s="106"/>
      <c r="G79" s="73"/>
      <c r="H79" s="208"/>
      <c r="I79" s="208"/>
      <c r="J79" s="204">
        <f t="shared" si="1"/>
        <v>0</v>
      </c>
      <c r="K79" s="209"/>
      <c r="L79" s="209"/>
      <c r="M79" s="204">
        <f t="shared" si="2"/>
        <v>0</v>
      </c>
      <c r="N79" s="209"/>
      <c r="O79" s="209"/>
      <c r="P79" s="218">
        <f t="shared" si="3"/>
        <v>0</v>
      </c>
      <c r="Q79" s="219"/>
      <c r="R79" s="219"/>
      <c r="S79" s="219"/>
      <c r="T79" s="219"/>
      <c r="U79" s="219"/>
      <c r="V79" s="219"/>
      <c r="W79" s="219"/>
      <c r="X79" s="219"/>
      <c r="Y79" s="219"/>
      <c r="Z79" s="219"/>
      <c r="AA79" s="219"/>
      <c r="AB79" s="220"/>
      <c r="AC79" s="207"/>
    </row>
    <row r="80" spans="2:29" ht="13.5" thickBot="1" x14ac:dyDescent="0.25">
      <c r="B80" s="502"/>
      <c r="C80" s="78"/>
      <c r="D80" s="74"/>
      <c r="E80" s="107"/>
      <c r="F80" s="107"/>
      <c r="G80" s="75"/>
      <c r="H80" s="211"/>
      <c r="I80" s="211"/>
      <c r="J80" s="213">
        <f t="shared" si="1"/>
        <v>0</v>
      </c>
      <c r="K80" s="212"/>
      <c r="L80" s="212"/>
      <c r="M80" s="213">
        <f t="shared" ref="M80:M93" si="11">K80+L80</f>
        <v>0</v>
      </c>
      <c r="N80" s="212"/>
      <c r="O80" s="212"/>
      <c r="P80" s="221">
        <f t="shared" ref="P80" si="12">N80+O80</f>
        <v>0</v>
      </c>
      <c r="Q80" s="219"/>
      <c r="R80" s="219"/>
      <c r="S80" s="219"/>
      <c r="T80" s="219"/>
      <c r="U80" s="219"/>
      <c r="V80" s="219"/>
      <c r="W80" s="219"/>
      <c r="X80" s="219"/>
      <c r="Y80" s="219"/>
      <c r="Z80" s="219"/>
      <c r="AA80" s="219"/>
      <c r="AB80" s="220"/>
      <c r="AC80" s="207"/>
    </row>
    <row r="81" spans="2:29" x14ac:dyDescent="0.2">
      <c r="B81" s="499">
        <f>B94-1</f>
        <v>2024</v>
      </c>
      <c r="C81" s="79"/>
      <c r="D81" s="66"/>
      <c r="E81" s="104"/>
      <c r="F81" s="104"/>
      <c r="G81" s="67"/>
      <c r="H81" s="197"/>
      <c r="I81" s="197"/>
      <c r="J81" s="199">
        <f t="shared" si="1"/>
        <v>0</v>
      </c>
      <c r="K81" s="198"/>
      <c r="L81" s="198"/>
      <c r="M81" s="222">
        <f t="shared" si="11"/>
        <v>0</v>
      </c>
      <c r="N81" s="227"/>
      <c r="O81" s="227"/>
      <c r="P81" s="227"/>
      <c r="Q81" s="216"/>
      <c r="R81" s="216"/>
      <c r="S81" s="216"/>
      <c r="T81" s="216"/>
      <c r="U81" s="216"/>
      <c r="V81" s="216"/>
      <c r="W81" s="216"/>
      <c r="X81" s="216"/>
      <c r="Y81" s="216"/>
      <c r="Z81" s="216"/>
      <c r="AA81" s="216"/>
      <c r="AB81" s="217"/>
      <c r="AC81" s="207"/>
    </row>
    <row r="82" spans="2:29" x14ac:dyDescent="0.2">
      <c r="B82" s="500"/>
      <c r="C82" s="76"/>
      <c r="D82" s="69"/>
      <c r="E82" s="105"/>
      <c r="F82" s="105"/>
      <c r="G82" s="70"/>
      <c r="H82" s="202"/>
      <c r="I82" s="202"/>
      <c r="J82" s="204">
        <f t="shared" si="1"/>
        <v>0</v>
      </c>
      <c r="K82" s="203"/>
      <c r="L82" s="203"/>
      <c r="M82" s="218">
        <f t="shared" si="11"/>
        <v>0</v>
      </c>
      <c r="N82" s="227"/>
      <c r="O82" s="227"/>
      <c r="P82" s="227"/>
      <c r="Q82" s="216"/>
      <c r="R82" s="216"/>
      <c r="S82" s="216"/>
      <c r="T82" s="216"/>
      <c r="U82" s="216"/>
      <c r="V82" s="216"/>
      <c r="W82" s="216"/>
      <c r="X82" s="216"/>
      <c r="Y82" s="216"/>
      <c r="Z82" s="216"/>
      <c r="AA82" s="216"/>
      <c r="AB82" s="217"/>
      <c r="AC82" s="207"/>
    </row>
    <row r="83" spans="2:29" x14ac:dyDescent="0.2">
      <c r="B83" s="500"/>
      <c r="C83" s="76"/>
      <c r="D83" s="69"/>
      <c r="E83" s="105"/>
      <c r="F83" s="105"/>
      <c r="G83" s="70"/>
      <c r="H83" s="202"/>
      <c r="I83" s="202"/>
      <c r="J83" s="204">
        <f t="shared" si="1"/>
        <v>0</v>
      </c>
      <c r="K83" s="203"/>
      <c r="L83" s="203"/>
      <c r="M83" s="218">
        <f t="shared" si="11"/>
        <v>0</v>
      </c>
      <c r="N83" s="227"/>
      <c r="O83" s="227"/>
      <c r="P83" s="227"/>
      <c r="Q83" s="216"/>
      <c r="R83" s="216"/>
      <c r="S83" s="216"/>
      <c r="T83" s="216"/>
      <c r="U83" s="216"/>
      <c r="V83" s="216"/>
      <c r="W83" s="216"/>
      <c r="X83" s="216"/>
      <c r="Y83" s="216"/>
      <c r="Z83" s="216"/>
      <c r="AA83" s="216"/>
      <c r="AB83" s="217"/>
      <c r="AC83" s="207"/>
    </row>
    <row r="84" spans="2:29" x14ac:dyDescent="0.2">
      <c r="B84" s="500"/>
      <c r="C84" s="76"/>
      <c r="D84" s="69"/>
      <c r="E84" s="105"/>
      <c r="F84" s="105"/>
      <c r="G84" s="70"/>
      <c r="H84" s="202"/>
      <c r="I84" s="202"/>
      <c r="J84" s="204">
        <f t="shared" si="1"/>
        <v>0</v>
      </c>
      <c r="K84" s="203"/>
      <c r="L84" s="203"/>
      <c r="M84" s="218">
        <f t="shared" si="11"/>
        <v>0</v>
      </c>
      <c r="N84" s="227"/>
      <c r="O84" s="227"/>
      <c r="P84" s="227"/>
      <c r="Q84" s="216"/>
      <c r="R84" s="216"/>
      <c r="S84" s="216"/>
      <c r="T84" s="216"/>
      <c r="U84" s="216"/>
      <c r="V84" s="216"/>
      <c r="W84" s="216"/>
      <c r="X84" s="216"/>
      <c r="Y84" s="216"/>
      <c r="Z84" s="216"/>
      <c r="AA84" s="216"/>
      <c r="AB84" s="217"/>
      <c r="AC84" s="207"/>
    </row>
    <row r="85" spans="2:29" x14ac:dyDescent="0.2">
      <c r="B85" s="500"/>
      <c r="C85" s="76"/>
      <c r="D85" s="69"/>
      <c r="E85" s="105"/>
      <c r="F85" s="105"/>
      <c r="G85" s="70"/>
      <c r="H85" s="202"/>
      <c r="I85" s="202"/>
      <c r="J85" s="204">
        <f t="shared" si="1"/>
        <v>0</v>
      </c>
      <c r="K85" s="203"/>
      <c r="L85" s="203"/>
      <c r="M85" s="218">
        <f t="shared" si="11"/>
        <v>0</v>
      </c>
      <c r="N85" s="227"/>
      <c r="O85" s="227"/>
      <c r="P85" s="227"/>
      <c r="Q85" s="216"/>
      <c r="R85" s="216"/>
      <c r="S85" s="216"/>
      <c r="T85" s="216"/>
      <c r="U85" s="216"/>
      <c r="V85" s="216"/>
      <c r="W85" s="216"/>
      <c r="X85" s="216"/>
      <c r="Y85" s="216"/>
      <c r="Z85" s="216"/>
      <c r="AA85" s="216"/>
      <c r="AB85" s="217"/>
      <c r="AC85" s="207"/>
    </row>
    <row r="86" spans="2:29" x14ac:dyDescent="0.2">
      <c r="B86" s="500"/>
      <c r="C86" s="76"/>
      <c r="D86" s="69"/>
      <c r="E86" s="105"/>
      <c r="F86" s="105"/>
      <c r="G86" s="70"/>
      <c r="H86" s="202"/>
      <c r="I86" s="202"/>
      <c r="J86" s="204">
        <f t="shared" si="1"/>
        <v>0</v>
      </c>
      <c r="K86" s="203"/>
      <c r="L86" s="203"/>
      <c r="M86" s="218">
        <f t="shared" si="11"/>
        <v>0</v>
      </c>
      <c r="N86" s="227"/>
      <c r="O86" s="227"/>
      <c r="P86" s="227"/>
      <c r="Q86" s="216"/>
      <c r="R86" s="216"/>
      <c r="S86" s="216"/>
      <c r="T86" s="216"/>
      <c r="U86" s="216"/>
      <c r="V86" s="216"/>
      <c r="W86" s="216"/>
      <c r="X86" s="216"/>
      <c r="Y86" s="216"/>
      <c r="Z86" s="216"/>
      <c r="AA86" s="216"/>
      <c r="AB86" s="217"/>
      <c r="AC86" s="207"/>
    </row>
    <row r="87" spans="2:29" x14ac:dyDescent="0.2">
      <c r="B87" s="500"/>
      <c r="C87" s="76"/>
      <c r="D87" s="69"/>
      <c r="E87" s="105"/>
      <c r="F87" s="105"/>
      <c r="G87" s="70"/>
      <c r="H87" s="202"/>
      <c r="I87" s="202"/>
      <c r="J87" s="204">
        <f t="shared" si="1"/>
        <v>0</v>
      </c>
      <c r="K87" s="203"/>
      <c r="L87" s="203"/>
      <c r="M87" s="218">
        <f t="shared" si="11"/>
        <v>0</v>
      </c>
      <c r="N87" s="227"/>
      <c r="O87" s="227"/>
      <c r="P87" s="227"/>
      <c r="Q87" s="216"/>
      <c r="R87" s="216"/>
      <c r="S87" s="216"/>
      <c r="T87" s="216"/>
      <c r="U87" s="216"/>
      <c r="V87" s="216"/>
      <c r="W87" s="216"/>
      <c r="X87" s="216"/>
      <c r="Y87" s="216"/>
      <c r="Z87" s="216"/>
      <c r="AA87" s="216"/>
      <c r="AB87" s="217"/>
      <c r="AC87" s="207"/>
    </row>
    <row r="88" spans="2:29" x14ac:dyDescent="0.2">
      <c r="B88" s="501"/>
      <c r="C88" s="77"/>
      <c r="D88" s="72"/>
      <c r="E88" s="106"/>
      <c r="F88" s="106"/>
      <c r="G88" s="73"/>
      <c r="H88" s="208"/>
      <c r="I88" s="208"/>
      <c r="J88" s="204">
        <f t="shared" si="1"/>
        <v>0</v>
      </c>
      <c r="K88" s="209"/>
      <c r="L88" s="209"/>
      <c r="M88" s="218">
        <f t="shared" si="11"/>
        <v>0</v>
      </c>
      <c r="N88" s="228"/>
      <c r="O88" s="228"/>
      <c r="P88" s="228"/>
      <c r="Q88" s="219"/>
      <c r="R88" s="219"/>
      <c r="S88" s="219"/>
      <c r="T88" s="219"/>
      <c r="U88" s="219"/>
      <c r="V88" s="219"/>
      <c r="W88" s="219"/>
      <c r="X88" s="219"/>
      <c r="Y88" s="219"/>
      <c r="Z88" s="219"/>
      <c r="AA88" s="219"/>
      <c r="AB88" s="220"/>
      <c r="AC88" s="207"/>
    </row>
    <row r="89" spans="2:29" x14ac:dyDescent="0.2">
      <c r="B89" s="501"/>
      <c r="C89" s="77"/>
      <c r="D89" s="72"/>
      <c r="E89" s="106"/>
      <c r="F89" s="106"/>
      <c r="G89" s="73"/>
      <c r="H89" s="208"/>
      <c r="I89" s="208"/>
      <c r="J89" s="204">
        <f t="shared" si="1"/>
        <v>0</v>
      </c>
      <c r="K89" s="209"/>
      <c r="L89" s="209"/>
      <c r="M89" s="218">
        <f t="shared" si="11"/>
        <v>0</v>
      </c>
      <c r="N89" s="228"/>
      <c r="O89" s="228"/>
      <c r="P89" s="228"/>
      <c r="Q89" s="219"/>
      <c r="R89" s="219"/>
      <c r="S89" s="219"/>
      <c r="T89" s="219"/>
      <c r="U89" s="219"/>
      <c r="V89" s="219"/>
      <c r="W89" s="219"/>
      <c r="X89" s="219"/>
      <c r="Y89" s="219"/>
      <c r="Z89" s="219"/>
      <c r="AA89" s="219"/>
      <c r="AB89" s="220"/>
      <c r="AC89" s="207"/>
    </row>
    <row r="90" spans="2:29" x14ac:dyDescent="0.2">
      <c r="B90" s="501"/>
      <c r="C90" s="77"/>
      <c r="D90" s="72"/>
      <c r="E90" s="106"/>
      <c r="F90" s="106"/>
      <c r="G90" s="73"/>
      <c r="H90" s="208"/>
      <c r="I90" s="208"/>
      <c r="J90" s="204">
        <f t="shared" si="1"/>
        <v>0</v>
      </c>
      <c r="K90" s="209"/>
      <c r="L90" s="209"/>
      <c r="M90" s="218">
        <f t="shared" si="11"/>
        <v>0</v>
      </c>
      <c r="N90" s="228"/>
      <c r="O90" s="228"/>
      <c r="P90" s="228"/>
      <c r="Q90" s="219"/>
      <c r="R90" s="219"/>
      <c r="S90" s="219"/>
      <c r="T90" s="219"/>
      <c r="U90" s="219"/>
      <c r="V90" s="219"/>
      <c r="W90" s="219"/>
      <c r="X90" s="219"/>
      <c r="Y90" s="219"/>
      <c r="Z90" s="219"/>
      <c r="AA90" s="219"/>
      <c r="AB90" s="220"/>
      <c r="AC90" s="207"/>
    </row>
    <row r="91" spans="2:29" x14ac:dyDescent="0.2">
      <c r="B91" s="501"/>
      <c r="C91" s="77"/>
      <c r="D91" s="72"/>
      <c r="E91" s="106"/>
      <c r="F91" s="106"/>
      <c r="G91" s="73"/>
      <c r="H91" s="208"/>
      <c r="I91" s="208"/>
      <c r="J91" s="204">
        <f t="shared" si="1"/>
        <v>0</v>
      </c>
      <c r="K91" s="209"/>
      <c r="L91" s="209"/>
      <c r="M91" s="218">
        <f t="shared" si="11"/>
        <v>0</v>
      </c>
      <c r="N91" s="228"/>
      <c r="O91" s="228"/>
      <c r="P91" s="228"/>
      <c r="Q91" s="219"/>
      <c r="R91" s="219"/>
      <c r="S91" s="219"/>
      <c r="T91" s="219"/>
      <c r="U91" s="219"/>
      <c r="V91" s="219"/>
      <c r="W91" s="219"/>
      <c r="X91" s="219"/>
      <c r="Y91" s="219"/>
      <c r="Z91" s="219"/>
      <c r="AA91" s="219"/>
      <c r="AB91" s="220"/>
      <c r="AC91" s="207"/>
    </row>
    <row r="92" spans="2:29" x14ac:dyDescent="0.2">
      <c r="B92" s="501"/>
      <c r="C92" s="77"/>
      <c r="D92" s="72"/>
      <c r="E92" s="106"/>
      <c r="F92" s="106"/>
      <c r="G92" s="73"/>
      <c r="H92" s="208"/>
      <c r="I92" s="208"/>
      <c r="J92" s="204">
        <f t="shared" si="1"/>
        <v>0</v>
      </c>
      <c r="K92" s="209"/>
      <c r="L92" s="209"/>
      <c r="M92" s="218">
        <f t="shared" si="11"/>
        <v>0</v>
      </c>
      <c r="N92" s="228"/>
      <c r="O92" s="228"/>
      <c r="P92" s="228"/>
      <c r="Q92" s="219"/>
      <c r="R92" s="219"/>
      <c r="S92" s="219"/>
      <c r="T92" s="219"/>
      <c r="U92" s="219"/>
      <c r="V92" s="219"/>
      <c r="W92" s="219"/>
      <c r="X92" s="219"/>
      <c r="Y92" s="219"/>
      <c r="Z92" s="219"/>
      <c r="AA92" s="219"/>
      <c r="AB92" s="220"/>
      <c r="AC92" s="207"/>
    </row>
    <row r="93" spans="2:29" ht="13.5" thickBot="1" x14ac:dyDescent="0.25">
      <c r="B93" s="502"/>
      <c r="C93" s="78"/>
      <c r="D93" s="74"/>
      <c r="E93" s="107"/>
      <c r="F93" s="107"/>
      <c r="G93" s="75"/>
      <c r="H93" s="211"/>
      <c r="I93" s="211"/>
      <c r="J93" s="213">
        <f t="shared" si="1"/>
        <v>0</v>
      </c>
      <c r="K93" s="212"/>
      <c r="L93" s="212"/>
      <c r="M93" s="221">
        <f t="shared" si="11"/>
        <v>0</v>
      </c>
      <c r="N93" s="228"/>
      <c r="O93" s="228"/>
      <c r="P93" s="228"/>
      <c r="Q93" s="219"/>
      <c r="R93" s="219"/>
      <c r="S93" s="219"/>
      <c r="T93" s="219"/>
      <c r="U93" s="219"/>
      <c r="V93" s="219"/>
      <c r="W93" s="219"/>
      <c r="X93" s="219"/>
      <c r="Y93" s="219"/>
      <c r="Z93" s="219"/>
      <c r="AA93" s="219"/>
      <c r="AB93" s="220"/>
      <c r="AC93" s="207"/>
    </row>
    <row r="94" spans="2:29" x14ac:dyDescent="0.2">
      <c r="B94" s="499">
        <f>D8-1</f>
        <v>2025</v>
      </c>
      <c r="C94" s="79"/>
      <c r="D94" s="66"/>
      <c r="E94" s="104"/>
      <c r="F94" s="104"/>
      <c r="G94" s="67"/>
      <c r="H94" s="197"/>
      <c r="I94" s="197"/>
      <c r="J94" s="222">
        <f t="shared" si="1"/>
        <v>0</v>
      </c>
      <c r="K94" s="229"/>
      <c r="L94" s="227"/>
      <c r="M94" s="230"/>
      <c r="N94" s="228"/>
      <c r="O94" s="228"/>
      <c r="P94" s="228"/>
      <c r="Q94" s="219"/>
      <c r="R94" s="219"/>
      <c r="S94" s="219"/>
      <c r="T94" s="219"/>
      <c r="U94" s="219"/>
      <c r="V94" s="219"/>
      <c r="W94" s="219"/>
      <c r="X94" s="219"/>
      <c r="Y94" s="219"/>
      <c r="Z94" s="219"/>
      <c r="AA94" s="219"/>
      <c r="AB94" s="220"/>
      <c r="AC94" s="207"/>
    </row>
    <row r="95" spans="2:29" x14ac:dyDescent="0.2">
      <c r="B95" s="500"/>
      <c r="C95" s="76"/>
      <c r="D95" s="69"/>
      <c r="E95" s="105"/>
      <c r="F95" s="105"/>
      <c r="G95" s="70"/>
      <c r="H95" s="202"/>
      <c r="I95" s="202"/>
      <c r="J95" s="218">
        <f t="shared" si="1"/>
        <v>0</v>
      </c>
      <c r="K95" s="229"/>
      <c r="L95" s="227"/>
      <c r="M95" s="230"/>
      <c r="N95" s="227"/>
      <c r="O95" s="227"/>
      <c r="P95" s="227"/>
      <c r="Q95" s="216"/>
      <c r="R95" s="216"/>
      <c r="S95" s="216"/>
      <c r="T95" s="216"/>
      <c r="U95" s="216"/>
      <c r="V95" s="216"/>
      <c r="W95" s="216"/>
      <c r="X95" s="216"/>
      <c r="Y95" s="216"/>
      <c r="Z95" s="216"/>
      <c r="AA95" s="216"/>
      <c r="AB95" s="217"/>
      <c r="AC95" s="207"/>
    </row>
    <row r="96" spans="2:29" x14ac:dyDescent="0.2">
      <c r="B96" s="500"/>
      <c r="C96" s="76"/>
      <c r="D96" s="69"/>
      <c r="E96" s="105"/>
      <c r="F96" s="105"/>
      <c r="G96" s="70"/>
      <c r="H96" s="202"/>
      <c r="I96" s="202"/>
      <c r="J96" s="218">
        <f t="shared" si="1"/>
        <v>0</v>
      </c>
      <c r="K96" s="229"/>
      <c r="L96" s="227"/>
      <c r="M96" s="230"/>
      <c r="N96" s="227"/>
      <c r="O96" s="227"/>
      <c r="P96" s="227"/>
      <c r="Q96" s="216"/>
      <c r="R96" s="216"/>
      <c r="S96" s="216"/>
      <c r="T96" s="216"/>
      <c r="U96" s="216"/>
      <c r="V96" s="216"/>
      <c r="W96" s="216"/>
      <c r="X96" s="216"/>
      <c r="Y96" s="216"/>
      <c r="Z96" s="216"/>
      <c r="AA96" s="216"/>
      <c r="AB96" s="217"/>
      <c r="AC96" s="207"/>
    </row>
    <row r="97" spans="2:29" x14ac:dyDescent="0.2">
      <c r="B97" s="500"/>
      <c r="C97" s="76"/>
      <c r="D97" s="69"/>
      <c r="E97" s="105"/>
      <c r="F97" s="105"/>
      <c r="G97" s="70"/>
      <c r="H97" s="202"/>
      <c r="I97" s="202"/>
      <c r="J97" s="218">
        <f t="shared" si="1"/>
        <v>0</v>
      </c>
      <c r="K97" s="229"/>
      <c r="L97" s="227"/>
      <c r="M97" s="230"/>
      <c r="N97" s="227"/>
      <c r="O97" s="227"/>
      <c r="P97" s="227"/>
      <c r="Q97" s="216"/>
      <c r="R97" s="216"/>
      <c r="S97" s="216"/>
      <c r="T97" s="216"/>
      <c r="U97" s="216"/>
      <c r="V97" s="216"/>
      <c r="W97" s="216"/>
      <c r="X97" s="216"/>
      <c r="Y97" s="216"/>
      <c r="Z97" s="216"/>
      <c r="AA97" s="216"/>
      <c r="AB97" s="217"/>
      <c r="AC97" s="207"/>
    </row>
    <row r="98" spans="2:29" x14ac:dyDescent="0.2">
      <c r="B98" s="500"/>
      <c r="C98" s="76"/>
      <c r="D98" s="69"/>
      <c r="E98" s="105"/>
      <c r="F98" s="105"/>
      <c r="G98" s="70"/>
      <c r="H98" s="202"/>
      <c r="I98" s="202"/>
      <c r="J98" s="218">
        <f t="shared" si="1"/>
        <v>0</v>
      </c>
      <c r="K98" s="229"/>
      <c r="L98" s="227"/>
      <c r="M98" s="230"/>
      <c r="N98" s="227"/>
      <c r="O98" s="227"/>
      <c r="P98" s="227"/>
      <c r="Q98" s="216"/>
      <c r="R98" s="216"/>
      <c r="S98" s="216"/>
      <c r="T98" s="216"/>
      <c r="U98" s="216"/>
      <c r="V98" s="216"/>
      <c r="W98" s="216"/>
      <c r="X98" s="216"/>
      <c r="Y98" s="216"/>
      <c r="Z98" s="216"/>
      <c r="AA98" s="216"/>
      <c r="AB98" s="217"/>
      <c r="AC98" s="207"/>
    </row>
    <row r="99" spans="2:29" x14ac:dyDescent="0.2">
      <c r="B99" s="500"/>
      <c r="C99" s="76"/>
      <c r="D99" s="69"/>
      <c r="E99" s="105"/>
      <c r="F99" s="105"/>
      <c r="G99" s="70"/>
      <c r="H99" s="202"/>
      <c r="I99" s="202"/>
      <c r="J99" s="218">
        <f t="shared" si="1"/>
        <v>0</v>
      </c>
      <c r="K99" s="229"/>
      <c r="L99" s="227"/>
      <c r="M99" s="230"/>
      <c r="N99" s="227"/>
      <c r="O99" s="227"/>
      <c r="P99" s="227"/>
      <c r="Q99" s="216"/>
      <c r="R99" s="216"/>
      <c r="S99" s="216"/>
      <c r="T99" s="216"/>
      <c r="U99" s="216"/>
      <c r="V99" s="216"/>
      <c r="W99" s="216"/>
      <c r="X99" s="216"/>
      <c r="Y99" s="216"/>
      <c r="Z99" s="216"/>
      <c r="AA99" s="216"/>
      <c r="AB99" s="217"/>
      <c r="AC99" s="207"/>
    </row>
    <row r="100" spans="2:29" x14ac:dyDescent="0.2">
      <c r="B100" s="500"/>
      <c r="C100" s="76"/>
      <c r="D100" s="69"/>
      <c r="E100" s="105"/>
      <c r="F100" s="105"/>
      <c r="G100" s="70"/>
      <c r="H100" s="202"/>
      <c r="I100" s="202"/>
      <c r="J100" s="218">
        <f t="shared" si="1"/>
        <v>0</v>
      </c>
      <c r="K100" s="229"/>
      <c r="L100" s="227"/>
      <c r="M100" s="230"/>
      <c r="N100" s="227"/>
      <c r="O100" s="227"/>
      <c r="P100" s="227"/>
      <c r="Q100" s="216"/>
      <c r="R100" s="216"/>
      <c r="S100" s="216"/>
      <c r="T100" s="216"/>
      <c r="U100" s="216"/>
      <c r="V100" s="216"/>
      <c r="W100" s="216"/>
      <c r="X100" s="216"/>
      <c r="Y100" s="216"/>
      <c r="Z100" s="216"/>
      <c r="AA100" s="216"/>
      <c r="AB100" s="217"/>
      <c r="AC100" s="207"/>
    </row>
    <row r="101" spans="2:29" x14ac:dyDescent="0.2">
      <c r="B101" s="500"/>
      <c r="C101" s="76"/>
      <c r="D101" s="69"/>
      <c r="E101" s="105"/>
      <c r="F101" s="105"/>
      <c r="G101" s="70"/>
      <c r="H101" s="202"/>
      <c r="I101" s="202"/>
      <c r="J101" s="218">
        <f t="shared" si="1"/>
        <v>0</v>
      </c>
      <c r="K101" s="229"/>
      <c r="L101" s="227"/>
      <c r="M101" s="230"/>
      <c r="N101" s="227"/>
      <c r="O101" s="227"/>
      <c r="P101" s="227"/>
      <c r="Q101" s="216"/>
      <c r="R101" s="216"/>
      <c r="S101" s="216"/>
      <c r="T101" s="216"/>
      <c r="U101" s="216"/>
      <c r="V101" s="216"/>
      <c r="W101" s="216"/>
      <c r="X101" s="216"/>
      <c r="Y101" s="216"/>
      <c r="Z101" s="216"/>
      <c r="AA101" s="216"/>
      <c r="AB101" s="217"/>
      <c r="AC101" s="207"/>
    </row>
    <row r="102" spans="2:29" x14ac:dyDescent="0.2">
      <c r="B102" s="501"/>
      <c r="C102" s="77"/>
      <c r="D102" s="72"/>
      <c r="E102" s="106"/>
      <c r="F102" s="106"/>
      <c r="G102" s="73"/>
      <c r="H102" s="208"/>
      <c r="I102" s="208"/>
      <c r="J102" s="218">
        <f t="shared" si="1"/>
        <v>0</v>
      </c>
      <c r="K102" s="231"/>
      <c r="L102" s="228"/>
      <c r="M102" s="232"/>
      <c r="N102" s="227"/>
      <c r="O102" s="227"/>
      <c r="P102" s="227"/>
      <c r="Q102" s="216"/>
      <c r="R102" s="216"/>
      <c r="S102" s="216"/>
      <c r="T102" s="216"/>
      <c r="U102" s="216"/>
      <c r="V102" s="216"/>
      <c r="W102" s="216"/>
      <c r="X102" s="216"/>
      <c r="Y102" s="216"/>
      <c r="Z102" s="216"/>
      <c r="AA102" s="216"/>
      <c r="AB102" s="217"/>
      <c r="AC102" s="207"/>
    </row>
    <row r="103" spans="2:29" x14ac:dyDescent="0.2">
      <c r="B103" s="501"/>
      <c r="C103" s="77"/>
      <c r="D103" s="72"/>
      <c r="E103" s="106"/>
      <c r="F103" s="106"/>
      <c r="G103" s="73"/>
      <c r="H103" s="208"/>
      <c r="I103" s="208"/>
      <c r="J103" s="218">
        <f t="shared" si="1"/>
        <v>0</v>
      </c>
      <c r="K103" s="231"/>
      <c r="L103" s="228"/>
      <c r="M103" s="232"/>
      <c r="N103" s="228"/>
      <c r="O103" s="228"/>
      <c r="P103" s="228"/>
      <c r="Q103" s="219"/>
      <c r="R103" s="219"/>
      <c r="S103" s="219"/>
      <c r="T103" s="219"/>
      <c r="U103" s="219"/>
      <c r="V103" s="219"/>
      <c r="W103" s="219"/>
      <c r="X103" s="219"/>
      <c r="Y103" s="219"/>
      <c r="Z103" s="219"/>
      <c r="AA103" s="219"/>
      <c r="AB103" s="220"/>
      <c r="AC103" s="207"/>
    </row>
    <row r="104" spans="2:29" x14ac:dyDescent="0.2">
      <c r="B104" s="501"/>
      <c r="C104" s="77"/>
      <c r="D104" s="72"/>
      <c r="E104" s="106"/>
      <c r="F104" s="106"/>
      <c r="G104" s="73"/>
      <c r="H104" s="208"/>
      <c r="I104" s="208"/>
      <c r="J104" s="218">
        <f t="shared" si="1"/>
        <v>0</v>
      </c>
      <c r="K104" s="231"/>
      <c r="L104" s="228"/>
      <c r="M104" s="232"/>
      <c r="N104" s="228"/>
      <c r="O104" s="228"/>
      <c r="P104" s="228"/>
      <c r="Q104" s="219"/>
      <c r="R104" s="219"/>
      <c r="S104" s="219"/>
      <c r="T104" s="219"/>
      <c r="U104" s="219"/>
      <c r="V104" s="219"/>
      <c r="W104" s="219"/>
      <c r="X104" s="219"/>
      <c r="Y104" s="219"/>
      <c r="Z104" s="219"/>
      <c r="AA104" s="219"/>
      <c r="AB104" s="220"/>
      <c r="AC104" s="207"/>
    </row>
    <row r="105" spans="2:29" x14ac:dyDescent="0.2">
      <c r="B105" s="501"/>
      <c r="C105" s="77"/>
      <c r="D105" s="72"/>
      <c r="E105" s="106"/>
      <c r="F105" s="106"/>
      <c r="G105" s="73"/>
      <c r="H105" s="208"/>
      <c r="I105" s="208"/>
      <c r="J105" s="218">
        <f t="shared" si="1"/>
        <v>0</v>
      </c>
      <c r="K105" s="231"/>
      <c r="L105" s="228"/>
      <c r="M105" s="232"/>
      <c r="N105" s="228"/>
      <c r="O105" s="228"/>
      <c r="P105" s="228"/>
      <c r="Q105" s="219"/>
      <c r="R105" s="219"/>
      <c r="S105" s="219"/>
      <c r="T105" s="219"/>
      <c r="U105" s="219"/>
      <c r="V105" s="219"/>
      <c r="W105" s="219"/>
      <c r="X105" s="219"/>
      <c r="Y105" s="219"/>
      <c r="Z105" s="219"/>
      <c r="AA105" s="219"/>
      <c r="AB105" s="220"/>
      <c r="AC105" s="207"/>
    </row>
    <row r="106" spans="2:29" x14ac:dyDescent="0.2">
      <c r="B106" s="501"/>
      <c r="C106" s="77"/>
      <c r="D106" s="72"/>
      <c r="E106" s="106"/>
      <c r="F106" s="106"/>
      <c r="G106" s="73"/>
      <c r="H106" s="208"/>
      <c r="I106" s="208"/>
      <c r="J106" s="218">
        <f t="shared" si="1"/>
        <v>0</v>
      </c>
      <c r="K106" s="231"/>
      <c r="L106" s="228"/>
      <c r="M106" s="232"/>
      <c r="N106" s="228"/>
      <c r="O106" s="228"/>
      <c r="P106" s="228"/>
      <c r="Q106" s="219"/>
      <c r="R106" s="219"/>
      <c r="S106" s="219"/>
      <c r="T106" s="219"/>
      <c r="U106" s="219"/>
      <c r="V106" s="219"/>
      <c r="W106" s="219"/>
      <c r="X106" s="219"/>
      <c r="Y106" s="219"/>
      <c r="Z106" s="219"/>
      <c r="AA106" s="219"/>
      <c r="AB106" s="220"/>
      <c r="AC106" s="207"/>
    </row>
    <row r="107" spans="2:29" x14ac:dyDescent="0.2">
      <c r="B107" s="501"/>
      <c r="C107" s="77"/>
      <c r="D107" s="72"/>
      <c r="E107" s="106"/>
      <c r="F107" s="106"/>
      <c r="G107" s="73"/>
      <c r="H107" s="208"/>
      <c r="I107" s="208"/>
      <c r="J107" s="218">
        <f t="shared" si="1"/>
        <v>0</v>
      </c>
      <c r="K107" s="231"/>
      <c r="L107" s="228"/>
      <c r="M107" s="232"/>
      <c r="N107" s="228"/>
      <c r="O107" s="228"/>
      <c r="P107" s="228"/>
      <c r="Q107" s="219"/>
      <c r="R107" s="219"/>
      <c r="S107" s="219"/>
      <c r="T107" s="219"/>
      <c r="U107" s="219"/>
      <c r="V107" s="219"/>
      <c r="W107" s="219"/>
      <c r="X107" s="219"/>
      <c r="Y107" s="219"/>
      <c r="Z107" s="219"/>
      <c r="AA107" s="219"/>
      <c r="AB107" s="220"/>
      <c r="AC107" s="207"/>
    </row>
    <row r="108" spans="2:29" ht="13.5" thickBot="1" x14ac:dyDescent="0.25">
      <c r="B108" s="502"/>
      <c r="C108" s="78"/>
      <c r="D108" s="74"/>
      <c r="E108" s="107"/>
      <c r="F108" s="107"/>
      <c r="G108" s="75"/>
      <c r="H108" s="211"/>
      <c r="I108" s="211"/>
      <c r="J108" s="221">
        <f t="shared" si="1"/>
        <v>0</v>
      </c>
      <c r="K108" s="231"/>
      <c r="L108" s="228"/>
      <c r="M108" s="232"/>
      <c r="N108" s="228"/>
      <c r="O108" s="228"/>
      <c r="P108" s="228"/>
      <c r="Q108" s="219"/>
      <c r="R108" s="219"/>
      <c r="S108" s="219"/>
      <c r="T108" s="219"/>
      <c r="U108" s="219"/>
      <c r="V108" s="219"/>
      <c r="W108" s="219"/>
      <c r="X108" s="219"/>
      <c r="Y108" s="219"/>
      <c r="Z108" s="219"/>
      <c r="AA108" s="219"/>
      <c r="AB108" s="220"/>
      <c r="AC108" s="233"/>
    </row>
    <row r="109" spans="2:29" ht="13.5" thickBot="1" x14ac:dyDescent="0.25"/>
    <row r="110" spans="2:29" x14ac:dyDescent="0.2">
      <c r="B110" s="83" t="s">
        <v>126</v>
      </c>
      <c r="C110" s="51"/>
      <c r="D110" s="51" t="s">
        <v>145</v>
      </c>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84"/>
    </row>
    <row r="111" spans="2:29" x14ac:dyDescent="0.2">
      <c r="B111" s="34"/>
      <c r="C111" s="31"/>
      <c r="D111" s="31" t="s">
        <v>146</v>
      </c>
      <c r="E111" s="31"/>
      <c r="F111" s="31"/>
      <c r="G111" s="31"/>
      <c r="H111" s="31"/>
      <c r="I111" s="31"/>
      <c r="J111" s="31"/>
      <c r="K111" s="31"/>
      <c r="L111" s="31"/>
      <c r="M111" s="31"/>
      <c r="N111" s="31"/>
      <c r="O111" s="31"/>
      <c r="P111" s="31"/>
      <c r="Q111" s="31"/>
      <c r="R111" s="31"/>
      <c r="S111" s="31"/>
      <c r="T111" s="31"/>
      <c r="U111" s="31"/>
      <c r="V111" s="31"/>
      <c r="W111" s="31"/>
      <c r="X111" s="31"/>
      <c r="Y111" s="31"/>
      <c r="Z111" s="31"/>
      <c r="AA111" s="31"/>
      <c r="AB111" s="31"/>
      <c r="AC111" s="39"/>
    </row>
    <row r="112" spans="2:29" ht="13.5" thickBot="1" x14ac:dyDescent="0.25">
      <c r="B112" s="85"/>
      <c r="C112" s="52"/>
      <c r="D112" s="52" t="s">
        <v>147</v>
      </c>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86"/>
    </row>
    <row r="114" spans="2:6" x14ac:dyDescent="0.2">
      <c r="B114" s="182" t="s">
        <v>14</v>
      </c>
      <c r="C114" s="114"/>
      <c r="D114" s="114"/>
      <c r="E114" s="114"/>
      <c r="F114" s="114"/>
    </row>
    <row r="115" spans="2:6" x14ac:dyDescent="0.2">
      <c r="B115" s="466"/>
      <c r="C115" s="466"/>
      <c r="D115" s="466"/>
      <c r="E115" s="466"/>
      <c r="F115" s="239"/>
    </row>
    <row r="116" spans="2:6" x14ac:dyDescent="0.2">
      <c r="B116" s="466"/>
      <c r="C116" s="466"/>
      <c r="D116" s="466"/>
      <c r="E116" s="466"/>
      <c r="F116" s="239"/>
    </row>
    <row r="117" spans="2:6" x14ac:dyDescent="0.2">
      <c r="B117" s="466"/>
      <c r="C117" s="466"/>
      <c r="D117" s="466"/>
      <c r="E117" s="466"/>
      <c r="F117" s="239"/>
    </row>
  </sheetData>
  <mergeCells count="39">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 ref="T13:V13"/>
    <mergeCell ref="W14:Y14"/>
    <mergeCell ref="Z14:AB14"/>
    <mergeCell ref="K14:M14"/>
    <mergeCell ref="N14:P14"/>
    <mergeCell ref="Q14:S14"/>
    <mergeCell ref="T14:V14"/>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s>
  <dataValidations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topLeftCell="A40" workbookViewId="0"/>
  </sheetViews>
  <sheetFormatPr defaultColWidth="11.42578125" defaultRowHeight="12.75" x14ac:dyDescent="0.2"/>
  <cols>
    <col min="1" max="1" width="2.85546875" style="115" customWidth="1"/>
    <col min="2" max="2" width="14.5703125" style="115" customWidth="1"/>
    <col min="3" max="3" width="8.42578125" style="115" customWidth="1"/>
    <col min="4" max="11" width="13.85546875" style="115" customWidth="1"/>
    <col min="12" max="13" width="11.42578125" style="115"/>
    <col min="14" max="14" width="7.85546875" style="115" customWidth="1"/>
    <col min="15"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5" ht="13.5" thickBot="1" x14ac:dyDescent="0.25"/>
    <row r="2" spans="1:15" ht="47.45" customHeight="1" thickBot="1" x14ac:dyDescent="0.25">
      <c r="B2" s="437" t="s">
        <v>148</v>
      </c>
      <c r="C2" s="438"/>
      <c r="D2" s="438"/>
      <c r="E2" s="438"/>
      <c r="F2" s="438"/>
      <c r="G2" s="438"/>
      <c r="H2" s="438"/>
      <c r="I2" s="438"/>
      <c r="J2" s="438"/>
      <c r="K2" s="438"/>
      <c r="L2" s="438"/>
      <c r="M2" s="439"/>
    </row>
    <row r="3" spans="1:15" ht="26.25" x14ac:dyDescent="0.4">
      <c r="C3" s="117"/>
      <c r="D3" s="117"/>
      <c r="E3" s="117"/>
      <c r="F3" s="117"/>
      <c r="G3" s="117"/>
    </row>
    <row r="4" spans="1:15" s="114" customFormat="1" x14ac:dyDescent="0.2">
      <c r="I4" s="116"/>
      <c r="L4" s="113"/>
      <c r="M4" s="113"/>
      <c r="N4" s="113"/>
      <c r="O4" s="113"/>
    </row>
    <row r="5" spans="1:15" s="114" customFormat="1" x14ac:dyDescent="0.2">
      <c r="C5" s="118" t="s">
        <v>103</v>
      </c>
      <c r="D5" s="451" t="str">
        <f>Header!$D$4</f>
        <v>ZARAI REINSURANCE CORPORATION</v>
      </c>
      <c r="E5" s="452"/>
      <c r="F5" s="119"/>
      <c r="M5" s="113"/>
    </row>
    <row r="6" spans="1:15" s="114" customFormat="1" x14ac:dyDescent="0.2">
      <c r="C6" s="118" t="s">
        <v>3</v>
      </c>
      <c r="D6" s="451" t="str">
        <f>Header!$D$5</f>
        <v>Kenya</v>
      </c>
      <c r="E6" s="452"/>
      <c r="F6" s="119" t="s">
        <v>104</v>
      </c>
    </row>
    <row r="7" spans="1:15" s="114" customFormat="1" x14ac:dyDescent="0.2">
      <c r="C7" s="118" t="s">
        <v>4</v>
      </c>
      <c r="D7" s="451" t="str">
        <f>Header!$D$6</f>
        <v>KES</v>
      </c>
      <c r="E7" s="452"/>
      <c r="F7" s="119"/>
    </row>
    <row r="8" spans="1:15" s="114" customFormat="1" x14ac:dyDescent="0.2">
      <c r="C8" s="118" t="s">
        <v>105</v>
      </c>
      <c r="D8" s="451">
        <f>YEAR(Header!$D$11)</f>
        <v>2026</v>
      </c>
      <c r="E8" s="452"/>
      <c r="F8" s="119"/>
    </row>
    <row r="9" spans="1:15" s="114" customFormat="1" x14ac:dyDescent="0.2">
      <c r="C9" s="118" t="s">
        <v>11</v>
      </c>
      <c r="D9" s="451" t="str">
        <f>Header!$D$15</f>
        <v>Property</v>
      </c>
      <c r="E9" s="452"/>
      <c r="F9" s="119"/>
    </row>
    <row r="10" spans="1:15" s="114" customFormat="1" x14ac:dyDescent="0.2">
      <c r="C10" s="118" t="s">
        <v>106</v>
      </c>
      <c r="D10" s="431"/>
      <c r="E10" s="433"/>
      <c r="F10" s="119"/>
    </row>
    <row r="11" spans="1:15" s="114" customFormat="1" ht="13.5" thickBot="1" x14ac:dyDescent="0.25"/>
    <row r="12" spans="1:15" s="114" customFormat="1" ht="13.5" thickBot="1" x14ac:dyDescent="0.25">
      <c r="A12" s="115"/>
      <c r="C12" s="120"/>
      <c r="D12" s="53" t="s">
        <v>128</v>
      </c>
      <c r="E12" s="54" t="s">
        <v>129</v>
      </c>
      <c r="F12" s="54" t="s">
        <v>130</v>
      </c>
      <c r="G12" s="54" t="s">
        <v>131</v>
      </c>
      <c r="H12" s="54" t="s">
        <v>132</v>
      </c>
      <c r="I12" s="54" t="s">
        <v>133</v>
      </c>
      <c r="J12" s="54" t="s">
        <v>134</v>
      </c>
      <c r="K12" s="54" t="s">
        <v>149</v>
      </c>
      <c r="L12" s="54" t="s">
        <v>150</v>
      </c>
      <c r="M12" s="55" t="s">
        <v>151</v>
      </c>
    </row>
    <row r="13" spans="1:15" s="114" customFormat="1" ht="13.5" thickBot="1" x14ac:dyDescent="0.25">
      <c r="A13" s="115"/>
      <c r="B13" s="523" t="s">
        <v>107</v>
      </c>
      <c r="C13" s="141">
        <f t="shared" ref="C13:C14" si="0">C14-1</f>
        <v>2013</v>
      </c>
      <c r="D13" s="159"/>
      <c r="E13" s="160"/>
      <c r="F13" s="160"/>
      <c r="G13" s="160"/>
      <c r="H13" s="160"/>
      <c r="I13" s="160"/>
      <c r="J13" s="160"/>
      <c r="K13" s="160"/>
      <c r="L13" s="160"/>
      <c r="M13" s="47"/>
    </row>
    <row r="14" spans="1:15" s="114" customFormat="1" ht="13.5" thickBot="1" x14ac:dyDescent="0.25">
      <c r="A14" s="115"/>
      <c r="B14" s="524"/>
      <c r="C14" s="142">
        <f t="shared" si="0"/>
        <v>2014</v>
      </c>
      <c r="D14" s="161"/>
      <c r="E14" s="162"/>
      <c r="F14" s="162"/>
      <c r="G14" s="162"/>
      <c r="H14" s="162"/>
      <c r="I14" s="162"/>
      <c r="J14" s="162"/>
      <c r="K14" s="162"/>
      <c r="L14" s="163"/>
      <c r="M14" s="164"/>
    </row>
    <row r="15" spans="1:15" s="114" customFormat="1" ht="13.5" thickBot="1" x14ac:dyDescent="0.25">
      <c r="A15" s="115"/>
      <c r="B15" s="524"/>
      <c r="C15" s="142">
        <f t="shared" ref="C15:C21" si="1">C16-1</f>
        <v>2015</v>
      </c>
      <c r="D15" s="161"/>
      <c r="E15" s="162"/>
      <c r="F15" s="162"/>
      <c r="G15" s="162"/>
      <c r="H15" s="162"/>
      <c r="I15" s="162"/>
      <c r="J15" s="162"/>
      <c r="K15" s="163"/>
      <c r="L15" s="164"/>
      <c r="M15" s="164"/>
    </row>
    <row r="16" spans="1:15" s="114" customFormat="1" ht="13.5" thickBot="1" x14ac:dyDescent="0.25">
      <c r="A16" s="115"/>
      <c r="B16" s="524"/>
      <c r="C16" s="142">
        <f t="shared" si="1"/>
        <v>2016</v>
      </c>
      <c r="D16" s="161"/>
      <c r="E16" s="162"/>
      <c r="F16" s="162"/>
      <c r="G16" s="162"/>
      <c r="H16" s="162"/>
      <c r="I16" s="162"/>
      <c r="J16" s="163"/>
      <c r="K16" s="164"/>
      <c r="L16" s="164"/>
      <c r="M16" s="164"/>
    </row>
    <row r="17" spans="1:13" s="114" customFormat="1" ht="13.5" thickBot="1" x14ac:dyDescent="0.25">
      <c r="A17" s="115"/>
      <c r="B17" s="524"/>
      <c r="C17" s="142">
        <f t="shared" si="1"/>
        <v>2017</v>
      </c>
      <c r="D17" s="161"/>
      <c r="E17" s="162"/>
      <c r="F17" s="162"/>
      <c r="G17" s="162"/>
      <c r="H17" s="162"/>
      <c r="I17" s="163"/>
      <c r="J17" s="164"/>
      <c r="K17" s="164"/>
      <c r="L17" s="164"/>
      <c r="M17" s="164"/>
    </row>
    <row r="18" spans="1:13" s="114" customFormat="1" ht="13.5" thickBot="1" x14ac:dyDescent="0.25">
      <c r="A18" s="115"/>
      <c r="B18" s="524"/>
      <c r="C18" s="142">
        <f t="shared" si="1"/>
        <v>2018</v>
      </c>
      <c r="D18" s="165"/>
      <c r="E18" s="166"/>
      <c r="F18" s="166"/>
      <c r="G18" s="166"/>
      <c r="H18" s="163"/>
      <c r="I18" s="167"/>
      <c r="J18" s="167"/>
      <c r="K18" s="167"/>
      <c r="L18" s="167"/>
      <c r="M18" s="167"/>
    </row>
    <row r="19" spans="1:13" s="114" customFormat="1" ht="13.5" thickBot="1" x14ac:dyDescent="0.25">
      <c r="A19" s="115"/>
      <c r="B19" s="524"/>
      <c r="C19" s="142">
        <f t="shared" si="1"/>
        <v>2019</v>
      </c>
      <c r="D19" s="165"/>
      <c r="E19" s="166"/>
      <c r="F19" s="166"/>
      <c r="G19" s="163"/>
      <c r="H19" s="167"/>
      <c r="I19" s="167"/>
      <c r="J19" s="167"/>
      <c r="K19" s="167"/>
      <c r="L19" s="167"/>
      <c r="M19" s="167"/>
    </row>
    <row r="20" spans="1:13" s="114" customFormat="1" ht="13.5" thickBot="1" x14ac:dyDescent="0.25">
      <c r="A20" s="115"/>
      <c r="B20" s="524"/>
      <c r="C20" s="142">
        <f t="shared" si="1"/>
        <v>2020</v>
      </c>
      <c r="D20" s="165"/>
      <c r="E20" s="166"/>
      <c r="F20" s="163"/>
      <c r="G20" s="167"/>
      <c r="H20" s="167"/>
      <c r="I20" s="167"/>
      <c r="J20" s="167"/>
      <c r="K20" s="167"/>
      <c r="L20" s="167"/>
      <c r="M20" s="167"/>
    </row>
    <row r="21" spans="1:13" s="114" customFormat="1" ht="13.5" thickBot="1" x14ac:dyDescent="0.25">
      <c r="A21" s="115"/>
      <c r="B21" s="524"/>
      <c r="C21" s="142">
        <f t="shared" si="1"/>
        <v>2021</v>
      </c>
      <c r="D21" s="165"/>
      <c r="E21" s="163"/>
      <c r="F21" s="167"/>
      <c r="G21" s="167"/>
      <c r="H21" s="167"/>
      <c r="I21" s="167"/>
      <c r="J21" s="167"/>
      <c r="K21" s="167"/>
      <c r="L21" s="167"/>
      <c r="M21" s="167"/>
    </row>
    <row r="22" spans="1:13" s="114" customFormat="1" ht="13.5" thickBot="1" x14ac:dyDescent="0.25">
      <c r="A22" s="115"/>
      <c r="B22" s="525"/>
      <c r="C22" s="143">
        <v>2022</v>
      </c>
      <c r="D22" s="163"/>
      <c r="E22" s="167"/>
      <c r="F22" s="167"/>
      <c r="G22" s="167"/>
      <c r="H22" s="167"/>
      <c r="I22" s="167"/>
      <c r="J22" s="167"/>
      <c r="K22" s="167"/>
      <c r="L22" s="167"/>
      <c r="M22" s="167"/>
    </row>
    <row r="23" spans="1:13" s="114" customFormat="1" ht="13.5" thickBot="1" x14ac:dyDescent="0.25">
      <c r="A23" s="115"/>
      <c r="B23" s="120"/>
      <c r="C23" s="120"/>
      <c r="D23" s="121"/>
      <c r="E23" s="121"/>
      <c r="F23" s="121"/>
      <c r="G23" s="121"/>
      <c r="H23" s="121"/>
      <c r="I23" s="121"/>
      <c r="J23" s="120"/>
      <c r="K23" s="120"/>
      <c r="L23" s="120"/>
      <c r="M23" s="120"/>
    </row>
    <row r="24" spans="1:13" s="114" customFormat="1" ht="13.5" thickBot="1" x14ac:dyDescent="0.25">
      <c r="A24" s="115"/>
      <c r="C24" s="120"/>
      <c r="D24" s="53" t="s">
        <v>128</v>
      </c>
      <c r="E24" s="54" t="s">
        <v>129</v>
      </c>
      <c r="F24" s="54" t="s">
        <v>130</v>
      </c>
      <c r="G24" s="54" t="s">
        <v>131</v>
      </c>
      <c r="H24" s="54" t="s">
        <v>132</v>
      </c>
      <c r="I24" s="54" t="s">
        <v>133</v>
      </c>
      <c r="J24" s="54" t="s">
        <v>134</v>
      </c>
      <c r="K24" s="54" t="s">
        <v>149</v>
      </c>
      <c r="L24" s="54" t="s">
        <v>150</v>
      </c>
      <c r="M24" s="55" t="s">
        <v>151</v>
      </c>
    </row>
    <row r="25" spans="1:13" s="114" customFormat="1" ht="12.95" customHeight="1" thickBot="1" x14ac:dyDescent="0.25">
      <c r="A25" s="115"/>
      <c r="B25" s="526" t="s">
        <v>152</v>
      </c>
      <c r="C25" s="141">
        <f t="shared" ref="C25:C33" si="2">C26-1</f>
        <v>2013</v>
      </c>
      <c r="D25" s="159"/>
      <c r="E25" s="160"/>
      <c r="F25" s="160"/>
      <c r="G25" s="160"/>
      <c r="H25" s="160"/>
      <c r="I25" s="160"/>
      <c r="J25" s="160"/>
      <c r="K25" s="160"/>
      <c r="L25" s="160"/>
      <c r="M25" s="47"/>
    </row>
    <row r="26" spans="1:13" s="114" customFormat="1" ht="13.5" thickBot="1" x14ac:dyDescent="0.25">
      <c r="A26" s="115"/>
      <c r="B26" s="527"/>
      <c r="C26" s="142">
        <f t="shared" si="2"/>
        <v>2014</v>
      </c>
      <c r="D26" s="161"/>
      <c r="E26" s="162"/>
      <c r="F26" s="162"/>
      <c r="G26" s="162"/>
      <c r="H26" s="162"/>
      <c r="I26" s="162"/>
      <c r="J26" s="162"/>
      <c r="K26" s="162"/>
      <c r="L26" s="163"/>
      <c r="M26" s="164"/>
    </row>
    <row r="27" spans="1:13" s="114" customFormat="1" ht="13.5" thickBot="1" x14ac:dyDescent="0.25">
      <c r="A27" s="115"/>
      <c r="B27" s="527"/>
      <c r="C27" s="142">
        <f t="shared" si="2"/>
        <v>2015</v>
      </c>
      <c r="D27" s="161"/>
      <c r="E27" s="162"/>
      <c r="F27" s="162"/>
      <c r="G27" s="162"/>
      <c r="H27" s="162"/>
      <c r="I27" s="162"/>
      <c r="J27" s="162"/>
      <c r="K27" s="163"/>
      <c r="L27" s="164"/>
      <c r="M27" s="164"/>
    </row>
    <row r="28" spans="1:13" s="114" customFormat="1" ht="13.5" thickBot="1" x14ac:dyDescent="0.25">
      <c r="A28" s="115"/>
      <c r="B28" s="527"/>
      <c r="C28" s="142">
        <f t="shared" si="2"/>
        <v>2016</v>
      </c>
      <c r="D28" s="161"/>
      <c r="E28" s="162"/>
      <c r="F28" s="162"/>
      <c r="G28" s="162"/>
      <c r="H28" s="162"/>
      <c r="I28" s="162"/>
      <c r="J28" s="163"/>
      <c r="K28" s="164"/>
      <c r="L28" s="164"/>
      <c r="M28" s="164"/>
    </row>
    <row r="29" spans="1:13" s="114" customFormat="1" ht="13.5" thickBot="1" x14ac:dyDescent="0.25">
      <c r="A29" s="115"/>
      <c r="B29" s="527"/>
      <c r="C29" s="142">
        <f t="shared" si="2"/>
        <v>2017</v>
      </c>
      <c r="D29" s="161"/>
      <c r="E29" s="162"/>
      <c r="F29" s="162"/>
      <c r="G29" s="162"/>
      <c r="H29" s="162"/>
      <c r="I29" s="163"/>
      <c r="J29" s="164"/>
      <c r="K29" s="164"/>
      <c r="L29" s="164"/>
      <c r="M29" s="164"/>
    </row>
    <row r="30" spans="1:13" s="114" customFormat="1" ht="13.5" thickBot="1" x14ac:dyDescent="0.25">
      <c r="A30" s="115"/>
      <c r="B30" s="527"/>
      <c r="C30" s="142">
        <f t="shared" si="2"/>
        <v>2018</v>
      </c>
      <c r="D30" s="165"/>
      <c r="E30" s="166"/>
      <c r="F30" s="166"/>
      <c r="G30" s="166"/>
      <c r="H30" s="163"/>
      <c r="I30" s="167"/>
      <c r="J30" s="167"/>
      <c r="K30" s="167"/>
      <c r="L30" s="167"/>
      <c r="M30" s="167"/>
    </row>
    <row r="31" spans="1:13" s="114" customFormat="1" ht="13.5" thickBot="1" x14ac:dyDescent="0.25">
      <c r="A31" s="115"/>
      <c r="B31" s="527"/>
      <c r="C31" s="142">
        <f t="shared" si="2"/>
        <v>2019</v>
      </c>
      <c r="D31" s="165"/>
      <c r="E31" s="166"/>
      <c r="F31" s="166"/>
      <c r="G31" s="163"/>
      <c r="H31" s="167"/>
      <c r="I31" s="167"/>
      <c r="J31" s="167"/>
      <c r="K31" s="167"/>
      <c r="L31" s="167"/>
      <c r="M31" s="167"/>
    </row>
    <row r="32" spans="1:13" s="114" customFormat="1" ht="13.5" thickBot="1" x14ac:dyDescent="0.25">
      <c r="A32" s="115"/>
      <c r="B32" s="527"/>
      <c r="C32" s="142">
        <f t="shared" si="2"/>
        <v>2020</v>
      </c>
      <c r="D32" s="165"/>
      <c r="E32" s="166"/>
      <c r="F32" s="163"/>
      <c r="G32" s="167"/>
      <c r="H32" s="167"/>
      <c r="I32" s="167"/>
      <c r="J32" s="167"/>
      <c r="K32" s="167"/>
      <c r="L32" s="167"/>
      <c r="M32" s="167"/>
    </row>
    <row r="33" spans="1:13" s="114" customFormat="1" ht="13.5" thickBot="1" x14ac:dyDescent="0.25">
      <c r="A33" s="115"/>
      <c r="B33" s="527"/>
      <c r="C33" s="142">
        <f t="shared" si="2"/>
        <v>2021</v>
      </c>
      <c r="D33" s="165"/>
      <c r="E33" s="163"/>
      <c r="F33" s="167"/>
      <c r="G33" s="167"/>
      <c r="H33" s="167"/>
      <c r="I33" s="167"/>
      <c r="J33" s="167"/>
      <c r="K33" s="167"/>
      <c r="L33" s="167"/>
      <c r="M33" s="167"/>
    </row>
    <row r="34" spans="1:13" s="114" customFormat="1" ht="13.5" thickBot="1" x14ac:dyDescent="0.25">
      <c r="A34" s="115"/>
      <c r="B34" s="528"/>
      <c r="C34" s="143">
        <v>2022</v>
      </c>
      <c r="D34" s="163"/>
      <c r="E34" s="167"/>
      <c r="F34" s="167"/>
      <c r="G34" s="167"/>
      <c r="H34" s="167"/>
      <c r="I34" s="167"/>
      <c r="J34" s="167"/>
      <c r="K34" s="167"/>
      <c r="L34" s="167"/>
      <c r="M34" s="167"/>
    </row>
    <row r="35" spans="1:13" s="114" customFormat="1" ht="13.5" thickBot="1" x14ac:dyDescent="0.25">
      <c r="A35" s="115"/>
      <c r="C35" s="120"/>
      <c r="D35" s="139"/>
      <c r="E35" s="139"/>
      <c r="F35" s="139"/>
      <c r="G35" s="139"/>
      <c r="H35" s="139"/>
      <c r="I35" s="139"/>
      <c r="J35" s="139"/>
      <c r="K35" s="139"/>
      <c r="L35" s="120"/>
      <c r="M35" s="120"/>
    </row>
    <row r="36" spans="1:13" s="114" customFormat="1" ht="13.5" thickBot="1" x14ac:dyDescent="0.25">
      <c r="A36" s="115"/>
      <c r="C36" s="120"/>
      <c r="D36" s="53" t="s">
        <v>128</v>
      </c>
      <c r="E36" s="54" t="s">
        <v>129</v>
      </c>
      <c r="F36" s="54" t="s">
        <v>130</v>
      </c>
      <c r="G36" s="54" t="s">
        <v>131</v>
      </c>
      <c r="H36" s="54" t="s">
        <v>132</v>
      </c>
      <c r="I36" s="54" t="s">
        <v>133</v>
      </c>
      <c r="J36" s="54" t="s">
        <v>134</v>
      </c>
      <c r="K36" s="54" t="s">
        <v>149</v>
      </c>
      <c r="L36" s="54" t="s">
        <v>150</v>
      </c>
      <c r="M36" s="55" t="s">
        <v>151</v>
      </c>
    </row>
    <row r="37" spans="1:13" s="114" customFormat="1" ht="12.95" customHeight="1" thickBot="1" x14ac:dyDescent="0.25">
      <c r="A37" s="115"/>
      <c r="B37" s="526" t="s">
        <v>153</v>
      </c>
      <c r="C37" s="141">
        <f t="shared" ref="C37:C45" si="3">C38-1</f>
        <v>2013</v>
      </c>
      <c r="D37" s="159"/>
      <c r="E37" s="160"/>
      <c r="F37" s="160"/>
      <c r="G37" s="160"/>
      <c r="H37" s="160"/>
      <c r="I37" s="160"/>
      <c r="J37" s="160"/>
      <c r="K37" s="160"/>
      <c r="L37" s="160"/>
      <c r="M37" s="47"/>
    </row>
    <row r="38" spans="1:13" s="114" customFormat="1" ht="13.5" thickBot="1" x14ac:dyDescent="0.25">
      <c r="A38" s="115"/>
      <c r="B38" s="527"/>
      <c r="C38" s="142">
        <f t="shared" si="3"/>
        <v>2014</v>
      </c>
      <c r="D38" s="161"/>
      <c r="E38" s="162"/>
      <c r="F38" s="162"/>
      <c r="G38" s="162"/>
      <c r="H38" s="162"/>
      <c r="I38" s="162"/>
      <c r="J38" s="162"/>
      <c r="K38" s="162"/>
      <c r="L38" s="163"/>
      <c r="M38" s="164"/>
    </row>
    <row r="39" spans="1:13" ht="13.5" thickBot="1" x14ac:dyDescent="0.25">
      <c r="B39" s="527"/>
      <c r="C39" s="142">
        <f t="shared" si="3"/>
        <v>2015</v>
      </c>
      <c r="D39" s="161"/>
      <c r="E39" s="162"/>
      <c r="F39" s="162"/>
      <c r="G39" s="162"/>
      <c r="H39" s="162"/>
      <c r="I39" s="162"/>
      <c r="J39" s="162"/>
      <c r="K39" s="163"/>
      <c r="L39" s="164"/>
      <c r="M39" s="164"/>
    </row>
    <row r="40" spans="1:13" ht="13.5" thickBot="1" x14ac:dyDescent="0.25">
      <c r="B40" s="527"/>
      <c r="C40" s="142">
        <f t="shared" si="3"/>
        <v>2016</v>
      </c>
      <c r="D40" s="161"/>
      <c r="E40" s="162"/>
      <c r="F40" s="162"/>
      <c r="G40" s="162"/>
      <c r="H40" s="162"/>
      <c r="I40" s="162"/>
      <c r="J40" s="163"/>
      <c r="K40" s="164"/>
      <c r="L40" s="164"/>
      <c r="M40" s="164"/>
    </row>
    <row r="41" spans="1:13" ht="13.5" thickBot="1" x14ac:dyDescent="0.25">
      <c r="B41" s="527"/>
      <c r="C41" s="142">
        <f t="shared" si="3"/>
        <v>2017</v>
      </c>
      <c r="D41" s="161"/>
      <c r="E41" s="162"/>
      <c r="F41" s="162"/>
      <c r="G41" s="162"/>
      <c r="H41" s="162"/>
      <c r="I41" s="163"/>
      <c r="J41" s="164"/>
      <c r="K41" s="164"/>
      <c r="L41" s="164"/>
      <c r="M41" s="164"/>
    </row>
    <row r="42" spans="1:13" ht="13.5" thickBot="1" x14ac:dyDescent="0.25">
      <c r="B42" s="527"/>
      <c r="C42" s="142">
        <f t="shared" si="3"/>
        <v>2018</v>
      </c>
      <c r="D42" s="165"/>
      <c r="E42" s="166"/>
      <c r="F42" s="166"/>
      <c r="G42" s="166"/>
      <c r="H42" s="163"/>
      <c r="I42" s="167"/>
      <c r="J42" s="167"/>
      <c r="K42" s="167"/>
      <c r="L42" s="167"/>
      <c r="M42" s="167"/>
    </row>
    <row r="43" spans="1:13" ht="13.5" thickBot="1" x14ac:dyDescent="0.25">
      <c r="B43" s="527"/>
      <c r="C43" s="142">
        <f t="shared" si="3"/>
        <v>2019</v>
      </c>
      <c r="D43" s="165"/>
      <c r="E43" s="166"/>
      <c r="F43" s="166"/>
      <c r="G43" s="163"/>
      <c r="H43" s="167"/>
      <c r="I43" s="167"/>
      <c r="J43" s="167"/>
      <c r="K43" s="167"/>
      <c r="L43" s="167"/>
      <c r="M43" s="167"/>
    </row>
    <row r="44" spans="1:13" ht="13.5" thickBot="1" x14ac:dyDescent="0.25">
      <c r="B44" s="527"/>
      <c r="C44" s="142">
        <f t="shared" si="3"/>
        <v>2020</v>
      </c>
      <c r="D44" s="165"/>
      <c r="E44" s="166"/>
      <c r="F44" s="163"/>
      <c r="G44" s="167"/>
      <c r="H44" s="167"/>
      <c r="I44" s="167"/>
      <c r="J44" s="167"/>
      <c r="K44" s="167"/>
      <c r="L44" s="167"/>
      <c r="M44" s="167"/>
    </row>
    <row r="45" spans="1:13" ht="13.5" thickBot="1" x14ac:dyDescent="0.25">
      <c r="B45" s="527"/>
      <c r="C45" s="142">
        <f t="shared" si="3"/>
        <v>2021</v>
      </c>
      <c r="D45" s="165"/>
      <c r="E45" s="163"/>
      <c r="F45" s="167"/>
      <c r="G45" s="167"/>
      <c r="H45" s="167"/>
      <c r="I45" s="167"/>
      <c r="J45" s="167"/>
      <c r="K45" s="167"/>
      <c r="L45" s="167"/>
      <c r="M45" s="167"/>
    </row>
    <row r="46" spans="1:13" ht="13.5" thickBot="1" x14ac:dyDescent="0.25">
      <c r="B46" s="528"/>
      <c r="C46" s="143">
        <v>2022</v>
      </c>
      <c r="D46" s="163"/>
      <c r="E46" s="167"/>
      <c r="F46" s="167"/>
      <c r="G46" s="167"/>
      <c r="H46" s="167"/>
      <c r="I46" s="167"/>
      <c r="J46" s="167"/>
      <c r="K46" s="167"/>
      <c r="L46" s="167"/>
      <c r="M46" s="167"/>
    </row>
    <row r="47" spans="1:13" ht="13.5" thickBot="1" x14ac:dyDescent="0.25">
      <c r="B47" s="122"/>
      <c r="C47" s="122"/>
      <c r="D47" s="137"/>
      <c r="E47" s="137"/>
      <c r="F47" s="137"/>
      <c r="G47" s="137"/>
      <c r="H47" s="137"/>
      <c r="I47" s="137"/>
      <c r="J47" s="137"/>
      <c r="K47" s="120"/>
      <c r="L47" s="120"/>
      <c r="M47" s="120"/>
    </row>
    <row r="48" spans="1:13" ht="13.5" thickBot="1" x14ac:dyDescent="0.25">
      <c r="B48" s="114"/>
      <c r="C48" s="120"/>
      <c r="D48" s="53" t="s">
        <v>128</v>
      </c>
      <c r="E48" s="54" t="s">
        <v>129</v>
      </c>
      <c r="F48" s="54" t="s">
        <v>130</v>
      </c>
      <c r="G48" s="54" t="s">
        <v>131</v>
      </c>
      <c r="H48" s="54" t="s">
        <v>132</v>
      </c>
      <c r="I48" s="54" t="s">
        <v>133</v>
      </c>
      <c r="J48" s="54" t="s">
        <v>134</v>
      </c>
      <c r="K48" s="54" t="s">
        <v>149</v>
      </c>
      <c r="L48" s="54" t="s">
        <v>150</v>
      </c>
      <c r="M48" s="55" t="s">
        <v>151</v>
      </c>
    </row>
    <row r="49" spans="2:13" ht="12.95" customHeight="1" thickBot="1" x14ac:dyDescent="0.25">
      <c r="B49" s="526" t="s">
        <v>154</v>
      </c>
      <c r="C49" s="141">
        <f t="shared" ref="C49:C57" si="4">C50-1</f>
        <v>2013</v>
      </c>
      <c r="D49" s="159"/>
      <c r="E49" s="160"/>
      <c r="F49" s="160"/>
      <c r="G49" s="160"/>
      <c r="H49" s="160"/>
      <c r="I49" s="160"/>
      <c r="J49" s="160"/>
      <c r="K49" s="160"/>
      <c r="L49" s="160"/>
      <c r="M49" s="47"/>
    </row>
    <row r="50" spans="2:13" ht="13.5" thickBot="1" x14ac:dyDescent="0.25">
      <c r="B50" s="527"/>
      <c r="C50" s="142">
        <f t="shared" si="4"/>
        <v>2014</v>
      </c>
      <c r="D50" s="161"/>
      <c r="E50" s="162"/>
      <c r="F50" s="162"/>
      <c r="G50" s="162"/>
      <c r="H50" s="162"/>
      <c r="I50" s="162"/>
      <c r="J50" s="162"/>
      <c r="K50" s="162"/>
      <c r="L50" s="163"/>
      <c r="M50" s="164"/>
    </row>
    <row r="51" spans="2:13" ht="13.5" thickBot="1" x14ac:dyDescent="0.25">
      <c r="B51" s="527"/>
      <c r="C51" s="142">
        <f t="shared" si="4"/>
        <v>2015</v>
      </c>
      <c r="D51" s="161"/>
      <c r="E51" s="162"/>
      <c r="F51" s="162"/>
      <c r="G51" s="162"/>
      <c r="H51" s="162"/>
      <c r="I51" s="162"/>
      <c r="J51" s="162"/>
      <c r="K51" s="163"/>
      <c r="L51" s="164"/>
      <c r="M51" s="164"/>
    </row>
    <row r="52" spans="2:13" ht="13.5" thickBot="1" x14ac:dyDescent="0.25">
      <c r="B52" s="527"/>
      <c r="C52" s="142">
        <f t="shared" si="4"/>
        <v>2016</v>
      </c>
      <c r="D52" s="161"/>
      <c r="E52" s="162"/>
      <c r="F52" s="162"/>
      <c r="G52" s="162"/>
      <c r="H52" s="162"/>
      <c r="I52" s="162"/>
      <c r="J52" s="163"/>
      <c r="K52" s="164"/>
      <c r="L52" s="164"/>
      <c r="M52" s="164"/>
    </row>
    <row r="53" spans="2:13" ht="13.5" thickBot="1" x14ac:dyDescent="0.25">
      <c r="B53" s="527"/>
      <c r="C53" s="142">
        <f t="shared" si="4"/>
        <v>2017</v>
      </c>
      <c r="D53" s="161"/>
      <c r="E53" s="162"/>
      <c r="F53" s="162"/>
      <c r="G53" s="162"/>
      <c r="H53" s="162"/>
      <c r="I53" s="163"/>
      <c r="J53" s="164"/>
      <c r="K53" s="164"/>
      <c r="L53" s="164"/>
      <c r="M53" s="164"/>
    </row>
    <row r="54" spans="2:13" ht="13.5" thickBot="1" x14ac:dyDescent="0.25">
      <c r="B54" s="527"/>
      <c r="C54" s="142">
        <f t="shared" si="4"/>
        <v>2018</v>
      </c>
      <c r="D54" s="165"/>
      <c r="E54" s="166"/>
      <c r="F54" s="166"/>
      <c r="G54" s="166"/>
      <c r="H54" s="163"/>
      <c r="I54" s="167"/>
      <c r="J54" s="167"/>
      <c r="K54" s="167"/>
      <c r="L54" s="167"/>
      <c r="M54" s="167"/>
    </row>
    <row r="55" spans="2:13" ht="13.5" thickBot="1" x14ac:dyDescent="0.25">
      <c r="B55" s="527"/>
      <c r="C55" s="142">
        <f t="shared" si="4"/>
        <v>2019</v>
      </c>
      <c r="D55" s="165"/>
      <c r="E55" s="166"/>
      <c r="F55" s="166"/>
      <c r="G55" s="163"/>
      <c r="H55" s="167"/>
      <c r="I55" s="167"/>
      <c r="J55" s="167"/>
      <c r="K55" s="167"/>
      <c r="L55" s="167"/>
      <c r="M55" s="167"/>
    </row>
    <row r="56" spans="2:13" ht="13.5" thickBot="1" x14ac:dyDescent="0.25">
      <c r="B56" s="527"/>
      <c r="C56" s="142">
        <f t="shared" si="4"/>
        <v>2020</v>
      </c>
      <c r="D56" s="165"/>
      <c r="E56" s="166"/>
      <c r="F56" s="163"/>
      <c r="G56" s="167"/>
      <c r="H56" s="167"/>
      <c r="I56" s="167"/>
      <c r="J56" s="167"/>
      <c r="K56" s="167"/>
      <c r="L56" s="167"/>
      <c r="M56" s="167"/>
    </row>
    <row r="57" spans="2:13" ht="13.5" thickBot="1" x14ac:dyDescent="0.25">
      <c r="B57" s="527"/>
      <c r="C57" s="142">
        <f t="shared" si="4"/>
        <v>2021</v>
      </c>
      <c r="D57" s="165"/>
      <c r="E57" s="163"/>
      <c r="F57" s="167"/>
      <c r="G57" s="167"/>
      <c r="H57" s="167"/>
      <c r="I57" s="167"/>
      <c r="J57" s="167"/>
      <c r="K57" s="167"/>
      <c r="L57" s="167"/>
      <c r="M57" s="167"/>
    </row>
    <row r="58" spans="2:13" ht="13.5" thickBot="1" x14ac:dyDescent="0.25">
      <c r="B58" s="528"/>
      <c r="C58" s="143">
        <v>2022</v>
      </c>
      <c r="D58" s="163"/>
      <c r="E58" s="167"/>
      <c r="F58" s="167"/>
      <c r="G58" s="167"/>
      <c r="H58" s="167"/>
      <c r="I58" s="167"/>
      <c r="J58" s="167"/>
      <c r="K58" s="167"/>
      <c r="L58" s="167"/>
      <c r="M58" s="167"/>
    </row>
    <row r="59" spans="2:13" ht="13.5" thickBot="1" x14ac:dyDescent="0.25">
      <c r="B59" s="140"/>
      <c r="C59" s="122"/>
      <c r="D59" s="137"/>
      <c r="E59" s="137"/>
      <c r="F59" s="137"/>
      <c r="G59" s="137"/>
      <c r="H59" s="137"/>
      <c r="I59" s="137"/>
      <c r="J59" s="120"/>
      <c r="K59" s="120"/>
      <c r="L59" s="120"/>
      <c r="M59" s="120"/>
    </row>
    <row r="60" spans="2:13" ht="13.5" thickBot="1" x14ac:dyDescent="0.25">
      <c r="B60" s="114"/>
      <c r="C60" s="120"/>
      <c r="D60" s="53" t="s">
        <v>128</v>
      </c>
      <c r="E60" s="54" t="s">
        <v>129</v>
      </c>
      <c r="F60" s="54" t="s">
        <v>130</v>
      </c>
      <c r="G60" s="54" t="s">
        <v>131</v>
      </c>
      <c r="H60" s="54" t="s">
        <v>132</v>
      </c>
      <c r="I60" s="54" t="s">
        <v>133</v>
      </c>
      <c r="J60" s="54" t="s">
        <v>134</v>
      </c>
      <c r="K60" s="54" t="s">
        <v>149</v>
      </c>
      <c r="L60" s="54" t="s">
        <v>150</v>
      </c>
      <c r="M60" s="55" t="s">
        <v>151</v>
      </c>
    </row>
    <row r="61" spans="2:13" ht="13.5" thickBot="1" x14ac:dyDescent="0.25">
      <c r="B61" s="523" t="s">
        <v>155</v>
      </c>
      <c r="C61" s="141">
        <f t="shared" ref="C61:C69" si="5">C62-1</f>
        <v>2013</v>
      </c>
      <c r="D61" s="146">
        <f>D37+D49</f>
        <v>0</v>
      </c>
      <c r="E61" s="147">
        <f t="shared" ref="E61:M61" si="6">E37+E49</f>
        <v>0</v>
      </c>
      <c r="F61" s="147">
        <f t="shared" si="6"/>
        <v>0</v>
      </c>
      <c r="G61" s="147">
        <f t="shared" si="6"/>
        <v>0</v>
      </c>
      <c r="H61" s="147">
        <f t="shared" si="6"/>
        <v>0</v>
      </c>
      <c r="I61" s="147">
        <f t="shared" si="6"/>
        <v>0</v>
      </c>
      <c r="J61" s="147">
        <f t="shared" si="6"/>
        <v>0</v>
      </c>
      <c r="K61" s="147">
        <f t="shared" si="6"/>
        <v>0</v>
      </c>
      <c r="L61" s="147">
        <f t="shared" si="6"/>
        <v>0</v>
      </c>
      <c r="M61" s="148">
        <f t="shared" si="6"/>
        <v>0</v>
      </c>
    </row>
    <row r="62" spans="2:13" ht="13.5" thickBot="1" x14ac:dyDescent="0.25">
      <c r="B62" s="524"/>
      <c r="C62" s="142">
        <f t="shared" si="5"/>
        <v>2014</v>
      </c>
      <c r="D62" s="149">
        <f t="shared" ref="D62:L62" si="7">D38+D50</f>
        <v>0</v>
      </c>
      <c r="E62" s="150">
        <f t="shared" si="7"/>
        <v>0</v>
      </c>
      <c r="F62" s="150">
        <f t="shared" si="7"/>
        <v>0</v>
      </c>
      <c r="G62" s="150">
        <f t="shared" si="7"/>
        <v>0</v>
      </c>
      <c r="H62" s="150">
        <f t="shared" si="7"/>
        <v>0</v>
      </c>
      <c r="I62" s="150">
        <f t="shared" si="7"/>
        <v>0</v>
      </c>
      <c r="J62" s="150">
        <f t="shared" si="7"/>
        <v>0</v>
      </c>
      <c r="K62" s="150">
        <f t="shared" si="7"/>
        <v>0</v>
      </c>
      <c r="L62" s="151">
        <f t="shared" si="7"/>
        <v>0</v>
      </c>
      <c r="M62" s="137"/>
    </row>
    <row r="63" spans="2:13" ht="13.5" thickBot="1" x14ac:dyDescent="0.25">
      <c r="B63" s="524"/>
      <c r="C63" s="142">
        <f t="shared" si="5"/>
        <v>2015</v>
      </c>
      <c r="D63" s="149">
        <f t="shared" ref="D63:K63" si="8">D39+D51</f>
        <v>0</v>
      </c>
      <c r="E63" s="150">
        <f t="shared" si="8"/>
        <v>0</v>
      </c>
      <c r="F63" s="150">
        <f t="shared" si="8"/>
        <v>0</v>
      </c>
      <c r="G63" s="150">
        <f t="shared" si="8"/>
        <v>0</v>
      </c>
      <c r="H63" s="150">
        <f t="shared" si="8"/>
        <v>0</v>
      </c>
      <c r="I63" s="150">
        <f t="shared" si="8"/>
        <v>0</v>
      </c>
      <c r="J63" s="150">
        <f t="shared" si="8"/>
        <v>0</v>
      </c>
      <c r="K63" s="151">
        <f t="shared" si="8"/>
        <v>0</v>
      </c>
      <c r="L63" s="137"/>
      <c r="M63" s="137"/>
    </row>
    <row r="64" spans="2:13" ht="13.5" thickBot="1" x14ac:dyDescent="0.25">
      <c r="B64" s="524"/>
      <c r="C64" s="142">
        <f t="shared" si="5"/>
        <v>2016</v>
      </c>
      <c r="D64" s="149">
        <f t="shared" ref="D64:J64" si="9">D40+D52</f>
        <v>0</v>
      </c>
      <c r="E64" s="150">
        <f t="shared" si="9"/>
        <v>0</v>
      </c>
      <c r="F64" s="150">
        <f t="shared" si="9"/>
        <v>0</v>
      </c>
      <c r="G64" s="150">
        <f t="shared" si="9"/>
        <v>0</v>
      </c>
      <c r="H64" s="150">
        <f t="shared" si="9"/>
        <v>0</v>
      </c>
      <c r="I64" s="150">
        <f t="shared" si="9"/>
        <v>0</v>
      </c>
      <c r="J64" s="151">
        <f t="shared" si="9"/>
        <v>0</v>
      </c>
      <c r="K64" s="137"/>
      <c r="L64" s="137"/>
      <c r="M64" s="137"/>
    </row>
    <row r="65" spans="2:13" ht="13.5" thickBot="1" x14ac:dyDescent="0.25">
      <c r="B65" s="524"/>
      <c r="C65" s="142">
        <f t="shared" si="5"/>
        <v>2017</v>
      </c>
      <c r="D65" s="149">
        <f t="shared" ref="D65:I65" si="10">D41+D53</f>
        <v>0</v>
      </c>
      <c r="E65" s="150">
        <f t="shared" si="10"/>
        <v>0</v>
      </c>
      <c r="F65" s="150">
        <f t="shared" si="10"/>
        <v>0</v>
      </c>
      <c r="G65" s="150">
        <f t="shared" si="10"/>
        <v>0</v>
      </c>
      <c r="H65" s="150">
        <f t="shared" si="10"/>
        <v>0</v>
      </c>
      <c r="I65" s="151">
        <f t="shared" si="10"/>
        <v>0</v>
      </c>
      <c r="J65" s="137"/>
      <c r="K65" s="137"/>
      <c r="L65" s="137"/>
      <c r="M65" s="137"/>
    </row>
    <row r="66" spans="2:13" ht="13.5" thickBot="1" x14ac:dyDescent="0.25">
      <c r="B66" s="524"/>
      <c r="C66" s="142">
        <f t="shared" si="5"/>
        <v>2018</v>
      </c>
      <c r="D66" s="152">
        <f t="shared" ref="D66:H66" si="11">D42+D54</f>
        <v>0</v>
      </c>
      <c r="E66" s="153">
        <f t="shared" si="11"/>
        <v>0</v>
      </c>
      <c r="F66" s="153">
        <f t="shared" si="11"/>
        <v>0</v>
      </c>
      <c r="G66" s="153">
        <f t="shared" si="11"/>
        <v>0</v>
      </c>
      <c r="H66" s="151">
        <f t="shared" si="11"/>
        <v>0</v>
      </c>
      <c r="I66" s="136"/>
      <c r="J66" s="136"/>
      <c r="K66" s="136"/>
      <c r="L66" s="136"/>
      <c r="M66" s="136"/>
    </row>
    <row r="67" spans="2:13" ht="13.5" thickBot="1" x14ac:dyDescent="0.25">
      <c r="B67" s="524"/>
      <c r="C67" s="142">
        <f t="shared" si="5"/>
        <v>2019</v>
      </c>
      <c r="D67" s="152">
        <f t="shared" ref="D67:G67" si="12">D43+D55</f>
        <v>0</v>
      </c>
      <c r="E67" s="153">
        <f t="shared" si="12"/>
        <v>0</v>
      </c>
      <c r="F67" s="153">
        <f t="shared" si="12"/>
        <v>0</v>
      </c>
      <c r="G67" s="151">
        <f t="shared" si="12"/>
        <v>0</v>
      </c>
      <c r="H67" s="136"/>
      <c r="I67" s="136"/>
      <c r="J67" s="136"/>
      <c r="K67" s="136"/>
      <c r="L67" s="136"/>
      <c r="M67" s="136"/>
    </row>
    <row r="68" spans="2:13" ht="13.5" thickBot="1" x14ac:dyDescent="0.25">
      <c r="B68" s="524"/>
      <c r="C68" s="142">
        <f t="shared" si="5"/>
        <v>2020</v>
      </c>
      <c r="D68" s="152">
        <f t="shared" ref="D68:F68" si="13">D44+D56</f>
        <v>0</v>
      </c>
      <c r="E68" s="153">
        <f t="shared" si="13"/>
        <v>0</v>
      </c>
      <c r="F68" s="151">
        <f t="shared" si="13"/>
        <v>0</v>
      </c>
      <c r="G68" s="136"/>
      <c r="H68" s="136"/>
      <c r="I68" s="136"/>
      <c r="J68" s="136"/>
      <c r="K68" s="136"/>
      <c r="L68" s="136"/>
      <c r="M68" s="136"/>
    </row>
    <row r="69" spans="2:13" ht="13.5" thickBot="1" x14ac:dyDescent="0.25">
      <c r="B69" s="524"/>
      <c r="C69" s="142">
        <f t="shared" si="5"/>
        <v>2021</v>
      </c>
      <c r="D69" s="152">
        <f t="shared" ref="D69:E69" si="14">D45+D57</f>
        <v>0</v>
      </c>
      <c r="E69" s="151">
        <f t="shared" si="14"/>
        <v>0</v>
      </c>
      <c r="F69" s="121"/>
      <c r="G69" s="121"/>
      <c r="H69" s="121"/>
      <c r="I69" s="121"/>
      <c r="J69" s="121"/>
      <c r="K69" s="121"/>
      <c r="L69" s="121"/>
      <c r="M69" s="121"/>
    </row>
    <row r="70" spans="2:13" ht="13.5" thickBot="1" x14ac:dyDescent="0.25">
      <c r="B70" s="525"/>
      <c r="C70" s="143">
        <v>2022</v>
      </c>
      <c r="D70" s="151">
        <f t="shared" ref="D70" si="15">D46+D58</f>
        <v>0</v>
      </c>
      <c r="E70" s="121"/>
      <c r="F70" s="121"/>
      <c r="G70" s="121"/>
      <c r="H70" s="121"/>
      <c r="I70" s="121"/>
      <c r="J70" s="121"/>
      <c r="K70" s="121"/>
      <c r="L70" s="121"/>
      <c r="M70" s="121"/>
    </row>
    <row r="71" spans="2:13" ht="13.5" thickBot="1" x14ac:dyDescent="0.25">
      <c r="B71" s="140"/>
      <c r="C71" s="122"/>
      <c r="D71" s="137"/>
      <c r="E71" s="137"/>
      <c r="F71" s="137"/>
      <c r="G71" s="137"/>
      <c r="H71" s="137"/>
      <c r="I71" s="120"/>
      <c r="J71" s="120"/>
      <c r="K71" s="120"/>
      <c r="L71" s="120"/>
      <c r="M71" s="120"/>
    </row>
    <row r="72" spans="2:13" ht="13.5" thickBot="1" x14ac:dyDescent="0.25">
      <c r="B72" s="114"/>
      <c r="C72" s="120"/>
      <c r="D72" s="53" t="s">
        <v>128</v>
      </c>
      <c r="E72" s="54" t="s">
        <v>129</v>
      </c>
      <c r="F72" s="54" t="s">
        <v>130</v>
      </c>
      <c r="G72" s="54" t="s">
        <v>131</v>
      </c>
      <c r="H72" s="54" t="s">
        <v>132</v>
      </c>
      <c r="I72" s="54" t="s">
        <v>133</v>
      </c>
      <c r="J72" s="54" t="s">
        <v>134</v>
      </c>
      <c r="K72" s="54" t="s">
        <v>149</v>
      </c>
      <c r="L72" s="54" t="s">
        <v>150</v>
      </c>
      <c r="M72" s="55" t="s">
        <v>151</v>
      </c>
    </row>
    <row r="73" spans="2:13" ht="13.5" thickBot="1" x14ac:dyDescent="0.25">
      <c r="B73" s="523" t="s">
        <v>156</v>
      </c>
      <c r="C73" s="141">
        <f t="shared" ref="C73:C81" si="16">C74-1</f>
        <v>2013</v>
      </c>
      <c r="D73" s="154" t="e">
        <f>D61/D13</f>
        <v>#DIV/0!</v>
      </c>
      <c r="E73" s="155" t="e">
        <f t="shared" ref="E73:M73" si="17">E61/E13</f>
        <v>#DIV/0!</v>
      </c>
      <c r="F73" s="155" t="e">
        <f t="shared" si="17"/>
        <v>#DIV/0!</v>
      </c>
      <c r="G73" s="155" t="e">
        <f t="shared" si="17"/>
        <v>#DIV/0!</v>
      </c>
      <c r="H73" s="155" t="e">
        <f t="shared" si="17"/>
        <v>#DIV/0!</v>
      </c>
      <c r="I73" s="155" t="e">
        <f t="shared" si="17"/>
        <v>#DIV/0!</v>
      </c>
      <c r="J73" s="155" t="e">
        <f t="shared" si="17"/>
        <v>#DIV/0!</v>
      </c>
      <c r="K73" s="155" t="e">
        <f t="shared" si="17"/>
        <v>#DIV/0!</v>
      </c>
      <c r="L73" s="155" t="e">
        <f t="shared" si="17"/>
        <v>#DIV/0!</v>
      </c>
      <c r="M73" s="56" t="e">
        <f t="shared" si="17"/>
        <v>#DIV/0!</v>
      </c>
    </row>
    <row r="74" spans="2:13" ht="13.5" thickBot="1" x14ac:dyDescent="0.25">
      <c r="B74" s="524"/>
      <c r="C74" s="142">
        <f t="shared" si="16"/>
        <v>2014</v>
      </c>
      <c r="D74" s="156" t="e">
        <f t="shared" ref="D74:L74" si="18">D62/D14</f>
        <v>#DIV/0!</v>
      </c>
      <c r="E74" s="157" t="e">
        <f t="shared" si="18"/>
        <v>#DIV/0!</v>
      </c>
      <c r="F74" s="157" t="e">
        <f t="shared" si="18"/>
        <v>#DIV/0!</v>
      </c>
      <c r="G74" s="157" t="e">
        <f t="shared" si="18"/>
        <v>#DIV/0!</v>
      </c>
      <c r="H74" s="157" t="e">
        <f t="shared" si="18"/>
        <v>#DIV/0!</v>
      </c>
      <c r="I74" s="157" t="e">
        <f t="shared" si="18"/>
        <v>#DIV/0!</v>
      </c>
      <c r="J74" s="157" t="e">
        <f t="shared" si="18"/>
        <v>#DIV/0!</v>
      </c>
      <c r="K74" s="157" t="e">
        <f t="shared" si="18"/>
        <v>#DIV/0!</v>
      </c>
      <c r="L74" s="144" t="e">
        <f t="shared" si="18"/>
        <v>#DIV/0!</v>
      </c>
      <c r="M74" s="137"/>
    </row>
    <row r="75" spans="2:13" ht="13.5" thickBot="1" x14ac:dyDescent="0.25">
      <c r="B75" s="524"/>
      <c r="C75" s="142">
        <f t="shared" si="16"/>
        <v>2015</v>
      </c>
      <c r="D75" s="156" t="e">
        <f t="shared" ref="D75:K75" si="19">D63/D15</f>
        <v>#DIV/0!</v>
      </c>
      <c r="E75" s="157" t="e">
        <f t="shared" si="19"/>
        <v>#DIV/0!</v>
      </c>
      <c r="F75" s="157" t="e">
        <f t="shared" si="19"/>
        <v>#DIV/0!</v>
      </c>
      <c r="G75" s="157" t="e">
        <f t="shared" si="19"/>
        <v>#DIV/0!</v>
      </c>
      <c r="H75" s="157" t="e">
        <f t="shared" si="19"/>
        <v>#DIV/0!</v>
      </c>
      <c r="I75" s="157" t="e">
        <f t="shared" si="19"/>
        <v>#DIV/0!</v>
      </c>
      <c r="J75" s="157" t="e">
        <f t="shared" si="19"/>
        <v>#DIV/0!</v>
      </c>
      <c r="K75" s="144" t="e">
        <f t="shared" si="19"/>
        <v>#DIV/0!</v>
      </c>
      <c r="L75" s="137"/>
      <c r="M75" s="137"/>
    </row>
    <row r="76" spans="2:13" ht="13.5" thickBot="1" x14ac:dyDescent="0.25">
      <c r="B76" s="524"/>
      <c r="C76" s="142">
        <f t="shared" si="16"/>
        <v>2016</v>
      </c>
      <c r="D76" s="156" t="e">
        <f t="shared" ref="D76:J76" si="20">D64/D16</f>
        <v>#DIV/0!</v>
      </c>
      <c r="E76" s="157" t="e">
        <f t="shared" si="20"/>
        <v>#DIV/0!</v>
      </c>
      <c r="F76" s="157" t="e">
        <f t="shared" si="20"/>
        <v>#DIV/0!</v>
      </c>
      <c r="G76" s="157" t="e">
        <f t="shared" si="20"/>
        <v>#DIV/0!</v>
      </c>
      <c r="H76" s="157" t="e">
        <f t="shared" si="20"/>
        <v>#DIV/0!</v>
      </c>
      <c r="I76" s="157" t="e">
        <f t="shared" si="20"/>
        <v>#DIV/0!</v>
      </c>
      <c r="J76" s="144" t="e">
        <f t="shared" si="20"/>
        <v>#DIV/0!</v>
      </c>
      <c r="K76" s="137"/>
      <c r="L76" s="137"/>
      <c r="M76" s="137"/>
    </row>
    <row r="77" spans="2:13" ht="13.5" thickBot="1" x14ac:dyDescent="0.25">
      <c r="B77" s="524"/>
      <c r="C77" s="142">
        <f t="shared" si="16"/>
        <v>2017</v>
      </c>
      <c r="D77" s="156" t="e">
        <f t="shared" ref="D77:I77" si="21">D65/D17</f>
        <v>#DIV/0!</v>
      </c>
      <c r="E77" s="157" t="e">
        <f t="shared" si="21"/>
        <v>#DIV/0!</v>
      </c>
      <c r="F77" s="157" t="e">
        <f t="shared" si="21"/>
        <v>#DIV/0!</v>
      </c>
      <c r="G77" s="157" t="e">
        <f t="shared" si="21"/>
        <v>#DIV/0!</v>
      </c>
      <c r="H77" s="157" t="e">
        <f t="shared" si="21"/>
        <v>#DIV/0!</v>
      </c>
      <c r="I77" s="144" t="e">
        <f t="shared" si="21"/>
        <v>#DIV/0!</v>
      </c>
      <c r="J77" s="137"/>
      <c r="K77" s="137"/>
      <c r="L77" s="137"/>
      <c r="M77" s="137"/>
    </row>
    <row r="78" spans="2:13" ht="13.5" thickBot="1" x14ac:dyDescent="0.25">
      <c r="B78" s="524"/>
      <c r="C78" s="142">
        <f t="shared" si="16"/>
        <v>2018</v>
      </c>
      <c r="D78" s="145" t="e">
        <f t="shared" ref="D78:H78" si="22">D66/D18</f>
        <v>#DIV/0!</v>
      </c>
      <c r="E78" s="158" t="e">
        <f t="shared" si="22"/>
        <v>#DIV/0!</v>
      </c>
      <c r="F78" s="158" t="e">
        <f t="shared" si="22"/>
        <v>#DIV/0!</v>
      </c>
      <c r="G78" s="158" t="e">
        <f t="shared" si="22"/>
        <v>#DIV/0!</v>
      </c>
      <c r="H78" s="144" t="e">
        <f t="shared" si="22"/>
        <v>#DIV/0!</v>
      </c>
      <c r="I78" s="136"/>
      <c r="J78" s="136"/>
      <c r="K78" s="136"/>
      <c r="L78" s="136"/>
      <c r="M78" s="136"/>
    </row>
    <row r="79" spans="2:13" ht="13.5" thickBot="1" x14ac:dyDescent="0.25">
      <c r="B79" s="524"/>
      <c r="C79" s="142">
        <f t="shared" si="16"/>
        <v>2019</v>
      </c>
      <c r="D79" s="145" t="e">
        <f t="shared" ref="D79:G79" si="23">D67/D19</f>
        <v>#DIV/0!</v>
      </c>
      <c r="E79" s="158" t="e">
        <f t="shared" si="23"/>
        <v>#DIV/0!</v>
      </c>
      <c r="F79" s="158" t="e">
        <f t="shared" si="23"/>
        <v>#DIV/0!</v>
      </c>
      <c r="G79" s="144" t="e">
        <f t="shared" si="23"/>
        <v>#DIV/0!</v>
      </c>
      <c r="H79" s="136"/>
      <c r="I79" s="136"/>
      <c r="J79" s="136"/>
      <c r="K79" s="136"/>
      <c r="L79" s="136"/>
      <c r="M79" s="136"/>
    </row>
    <row r="80" spans="2:13" ht="13.5" thickBot="1" x14ac:dyDescent="0.25">
      <c r="B80" s="524"/>
      <c r="C80" s="142">
        <f t="shared" si="16"/>
        <v>2020</v>
      </c>
      <c r="D80" s="145" t="e">
        <f t="shared" ref="D80:F80" si="24">D68/D20</f>
        <v>#DIV/0!</v>
      </c>
      <c r="E80" s="158" t="e">
        <f t="shared" si="24"/>
        <v>#DIV/0!</v>
      </c>
      <c r="F80" s="144" t="e">
        <f t="shared" si="24"/>
        <v>#DIV/0!</v>
      </c>
      <c r="G80" s="136"/>
      <c r="H80" s="136"/>
      <c r="I80" s="136"/>
      <c r="J80" s="136"/>
      <c r="K80" s="136"/>
      <c r="L80" s="136"/>
      <c r="M80" s="136"/>
    </row>
    <row r="81" spans="2:13" ht="13.5" thickBot="1" x14ac:dyDescent="0.25">
      <c r="B81" s="524"/>
      <c r="C81" s="142">
        <f t="shared" si="16"/>
        <v>2021</v>
      </c>
      <c r="D81" s="145" t="e">
        <f t="shared" ref="D81:E81" si="25">D69/D21</f>
        <v>#DIV/0!</v>
      </c>
      <c r="E81" s="144" t="e">
        <f t="shared" si="25"/>
        <v>#DIV/0!</v>
      </c>
      <c r="F81" s="121"/>
      <c r="G81" s="121"/>
      <c r="H81" s="121"/>
      <c r="I81" s="121"/>
      <c r="J81" s="121"/>
      <c r="K81" s="121"/>
      <c r="L81" s="121"/>
      <c r="M81" s="121"/>
    </row>
    <row r="82" spans="2:13" ht="13.5" thickBot="1" x14ac:dyDescent="0.25">
      <c r="B82" s="525"/>
      <c r="C82" s="143">
        <v>2022</v>
      </c>
      <c r="D82" s="144" t="e">
        <f t="shared" ref="D82" si="26">D70/D22</f>
        <v>#DIV/0!</v>
      </c>
      <c r="E82" s="121"/>
      <c r="F82" s="121"/>
      <c r="G82" s="121"/>
      <c r="H82" s="121"/>
      <c r="I82" s="121"/>
      <c r="J82" s="121"/>
      <c r="K82" s="121"/>
      <c r="L82" s="121"/>
      <c r="M82" s="121"/>
    </row>
    <row r="83" spans="2:13" x14ac:dyDescent="0.2">
      <c r="B83" s="122"/>
      <c r="C83" s="122"/>
      <c r="D83" s="137"/>
      <c r="E83" s="137"/>
      <c r="F83" s="137"/>
      <c r="G83" s="137"/>
      <c r="H83" s="120"/>
      <c r="I83" s="120"/>
      <c r="J83" s="120"/>
      <c r="K83" s="120"/>
      <c r="L83" s="120"/>
      <c r="M83" s="120"/>
    </row>
    <row r="84" spans="2:13" x14ac:dyDescent="0.2">
      <c r="B84" s="182" t="s">
        <v>14</v>
      </c>
      <c r="C84" s="114"/>
      <c r="D84" s="114"/>
      <c r="E84" s="114"/>
      <c r="F84" s="137"/>
      <c r="G84" s="137"/>
      <c r="H84" s="120"/>
      <c r="I84" s="120"/>
      <c r="J84" s="120"/>
      <c r="K84" s="120"/>
      <c r="L84" s="120"/>
      <c r="M84" s="120"/>
    </row>
    <row r="85" spans="2:13" x14ac:dyDescent="0.2">
      <c r="B85" s="466"/>
      <c r="C85" s="466"/>
      <c r="D85" s="466"/>
      <c r="E85" s="466"/>
      <c r="F85" s="136"/>
      <c r="G85" s="136"/>
      <c r="H85" s="120"/>
      <c r="I85" s="120"/>
      <c r="J85" s="120"/>
      <c r="K85" s="120"/>
      <c r="L85" s="120"/>
      <c r="M85" s="120"/>
    </row>
    <row r="86" spans="2:13" x14ac:dyDescent="0.2">
      <c r="B86" s="466"/>
      <c r="C86" s="466"/>
      <c r="D86" s="466"/>
      <c r="E86" s="466"/>
      <c r="F86" s="136"/>
      <c r="G86" s="136"/>
      <c r="H86" s="120"/>
      <c r="I86" s="120"/>
      <c r="J86" s="120"/>
      <c r="K86" s="120"/>
      <c r="L86" s="120"/>
      <c r="M86" s="120"/>
    </row>
    <row r="87" spans="2:13" x14ac:dyDescent="0.2">
      <c r="B87" s="466"/>
      <c r="C87" s="466"/>
      <c r="D87" s="466"/>
      <c r="E87" s="466"/>
      <c r="F87" s="121"/>
      <c r="G87" s="121"/>
      <c r="H87" s="120"/>
      <c r="I87" s="120"/>
      <c r="J87" s="120"/>
      <c r="K87" s="120"/>
      <c r="L87" s="120"/>
      <c r="M87" s="120"/>
    </row>
    <row r="88" spans="2:13" x14ac:dyDescent="0.2">
      <c r="B88" s="122"/>
      <c r="C88" s="122"/>
      <c r="D88" s="121"/>
      <c r="E88" s="121"/>
      <c r="F88" s="121"/>
      <c r="G88" s="121"/>
      <c r="H88" s="120"/>
      <c r="I88" s="120"/>
      <c r="J88" s="120"/>
      <c r="K88" s="120"/>
      <c r="L88" s="120"/>
      <c r="M88" s="120"/>
    </row>
    <row r="89" spans="2:13" x14ac:dyDescent="0.2">
      <c r="B89" s="120"/>
      <c r="C89" s="120"/>
      <c r="D89" s="120"/>
      <c r="E89" s="120"/>
      <c r="F89" s="120"/>
      <c r="G89" s="120"/>
      <c r="H89" s="120"/>
      <c r="I89" s="120"/>
      <c r="J89" s="120"/>
      <c r="K89" s="120"/>
      <c r="L89" s="120"/>
      <c r="M89" s="120"/>
    </row>
    <row r="90" spans="2:13" x14ac:dyDescent="0.2">
      <c r="C90" s="120"/>
      <c r="D90" s="139"/>
      <c r="E90" s="139"/>
      <c r="F90" s="139"/>
      <c r="G90" s="120"/>
      <c r="H90" s="120"/>
      <c r="I90" s="120"/>
      <c r="J90" s="120"/>
      <c r="K90" s="120"/>
      <c r="L90" s="120"/>
      <c r="M90" s="120"/>
    </row>
    <row r="91" spans="2:13" x14ac:dyDescent="0.2">
      <c r="B91" s="122"/>
      <c r="C91" s="122"/>
      <c r="D91" s="137"/>
      <c r="E91" s="137"/>
      <c r="F91" s="137"/>
      <c r="G91" s="120"/>
      <c r="H91" s="120"/>
      <c r="I91" s="120"/>
      <c r="J91" s="120"/>
      <c r="K91" s="120"/>
      <c r="L91" s="120"/>
      <c r="M91" s="120"/>
    </row>
    <row r="92" spans="2:13" x14ac:dyDescent="0.2">
      <c r="B92" s="140"/>
      <c r="C92" s="122"/>
      <c r="D92" s="137"/>
      <c r="E92" s="137"/>
      <c r="F92" s="137"/>
      <c r="G92" s="120"/>
      <c r="H92" s="120"/>
      <c r="I92" s="120"/>
      <c r="J92" s="120"/>
      <c r="K92" s="120"/>
      <c r="L92" s="120"/>
      <c r="M92" s="120"/>
    </row>
    <row r="93" spans="2:13" x14ac:dyDescent="0.2">
      <c r="B93" s="140"/>
      <c r="C93" s="122"/>
      <c r="D93" s="137"/>
      <c r="E93" s="137"/>
      <c r="F93" s="137"/>
      <c r="G93" s="120"/>
      <c r="H93" s="120"/>
      <c r="I93" s="120"/>
      <c r="J93" s="120"/>
      <c r="K93" s="120"/>
      <c r="L93" s="120"/>
      <c r="M93" s="120"/>
    </row>
    <row r="94" spans="2:13" x14ac:dyDescent="0.2">
      <c r="B94" s="122"/>
      <c r="C94" s="122"/>
      <c r="D94" s="137"/>
      <c r="E94" s="137"/>
      <c r="F94" s="137"/>
      <c r="G94" s="120"/>
      <c r="H94" s="120"/>
      <c r="I94" s="120"/>
      <c r="J94" s="120"/>
      <c r="K94" s="120"/>
      <c r="L94" s="120"/>
      <c r="M94" s="120"/>
    </row>
    <row r="95" spans="2:13" x14ac:dyDescent="0.2">
      <c r="B95" s="122"/>
      <c r="C95" s="122"/>
      <c r="D95" s="137"/>
      <c r="E95" s="137"/>
      <c r="F95" s="137"/>
      <c r="G95" s="120"/>
      <c r="H95" s="120"/>
      <c r="I95" s="120"/>
      <c r="J95" s="120"/>
      <c r="K95" s="120"/>
      <c r="L95" s="120"/>
      <c r="M95" s="120"/>
    </row>
    <row r="96" spans="2:13" x14ac:dyDescent="0.2">
      <c r="B96" s="122"/>
      <c r="C96" s="122"/>
      <c r="D96" s="136"/>
      <c r="E96" s="136"/>
      <c r="F96" s="136"/>
      <c r="G96" s="120"/>
      <c r="H96" s="120"/>
      <c r="I96" s="120"/>
      <c r="J96" s="120"/>
      <c r="K96" s="120"/>
      <c r="L96" s="120"/>
      <c r="M96" s="120"/>
    </row>
    <row r="97" spans="2:13" x14ac:dyDescent="0.2">
      <c r="B97" s="122"/>
      <c r="C97" s="122"/>
      <c r="D97" s="136"/>
      <c r="E97" s="136"/>
      <c r="F97" s="136"/>
      <c r="G97" s="120"/>
      <c r="H97" s="120"/>
      <c r="I97" s="120"/>
      <c r="J97" s="120"/>
      <c r="K97" s="120"/>
      <c r="L97" s="120"/>
      <c r="M97" s="120"/>
    </row>
    <row r="98" spans="2:13" x14ac:dyDescent="0.2">
      <c r="B98" s="122"/>
      <c r="C98" s="122"/>
      <c r="D98" s="121"/>
      <c r="E98" s="121"/>
      <c r="F98" s="121"/>
      <c r="G98" s="120"/>
      <c r="H98" s="120"/>
      <c r="I98" s="120"/>
      <c r="J98" s="120"/>
      <c r="K98" s="120"/>
      <c r="L98" s="120"/>
      <c r="M98" s="120"/>
    </row>
    <row r="99" spans="2:13" x14ac:dyDescent="0.2">
      <c r="B99" s="122"/>
      <c r="C99" s="122"/>
      <c r="D99" s="121"/>
      <c r="E99" s="121"/>
      <c r="F99" s="121"/>
      <c r="G99" s="120"/>
      <c r="H99" s="120"/>
      <c r="I99" s="120"/>
      <c r="J99" s="120"/>
      <c r="K99" s="120"/>
      <c r="L99" s="120"/>
      <c r="M99" s="120"/>
    </row>
    <row r="100" spans="2:13" x14ac:dyDescent="0.2">
      <c r="B100" s="120"/>
      <c r="C100" s="120"/>
      <c r="D100" s="120"/>
      <c r="E100" s="120"/>
      <c r="F100" s="120"/>
      <c r="G100" s="120"/>
      <c r="H100" s="120"/>
      <c r="I100" s="120"/>
      <c r="J100" s="120"/>
      <c r="K100" s="120"/>
      <c r="L100" s="120"/>
      <c r="M100" s="120"/>
    </row>
    <row r="101" spans="2:13" x14ac:dyDescent="0.2">
      <c r="C101" s="120"/>
      <c r="D101" s="139"/>
      <c r="E101" s="139"/>
      <c r="F101" s="120"/>
      <c r="G101" s="120"/>
      <c r="H101" s="120"/>
      <c r="I101" s="120"/>
      <c r="J101" s="120"/>
      <c r="K101" s="120"/>
      <c r="L101" s="120"/>
      <c r="M101" s="120"/>
    </row>
    <row r="102" spans="2:13" x14ac:dyDescent="0.2">
      <c r="B102" s="122"/>
      <c r="C102" s="122"/>
      <c r="D102" s="137"/>
      <c r="E102" s="137"/>
      <c r="F102" s="120"/>
      <c r="G102" s="120"/>
      <c r="H102" s="120"/>
      <c r="I102" s="120"/>
      <c r="J102" s="120"/>
      <c r="K102" s="120"/>
      <c r="L102" s="120"/>
      <c r="M102" s="120"/>
    </row>
    <row r="103" spans="2:13" x14ac:dyDescent="0.2">
      <c r="B103" s="140"/>
      <c r="C103" s="122"/>
      <c r="D103" s="137"/>
      <c r="E103" s="137"/>
      <c r="F103" s="120"/>
      <c r="G103" s="120"/>
      <c r="H103" s="120"/>
      <c r="I103" s="120"/>
      <c r="J103" s="120"/>
      <c r="K103" s="120"/>
      <c r="L103" s="120"/>
      <c r="M103" s="120"/>
    </row>
    <row r="104" spans="2:13" x14ac:dyDescent="0.2">
      <c r="B104" s="140"/>
      <c r="C104" s="122"/>
      <c r="D104" s="137"/>
      <c r="E104" s="137"/>
      <c r="F104" s="120"/>
      <c r="G104" s="120"/>
      <c r="H104" s="120"/>
      <c r="I104" s="120"/>
      <c r="J104" s="120"/>
      <c r="K104" s="120"/>
      <c r="L104" s="120"/>
      <c r="M104" s="120"/>
    </row>
    <row r="105" spans="2:13" x14ac:dyDescent="0.2">
      <c r="B105" s="122"/>
      <c r="C105" s="122"/>
      <c r="D105" s="137"/>
      <c r="E105" s="137"/>
      <c r="F105" s="120"/>
      <c r="G105" s="120"/>
      <c r="H105" s="120"/>
      <c r="I105" s="120"/>
      <c r="J105" s="120"/>
      <c r="K105" s="120"/>
      <c r="L105" s="120"/>
      <c r="M105" s="120"/>
    </row>
    <row r="106" spans="2:13" x14ac:dyDescent="0.2">
      <c r="B106" s="122"/>
      <c r="C106" s="122"/>
      <c r="D106" s="137"/>
      <c r="E106" s="137"/>
      <c r="F106" s="120"/>
      <c r="G106" s="120"/>
      <c r="H106" s="120"/>
      <c r="I106" s="120"/>
      <c r="J106" s="120"/>
      <c r="K106" s="120"/>
      <c r="L106" s="120"/>
      <c r="M106" s="120"/>
    </row>
    <row r="107" spans="2:13" x14ac:dyDescent="0.2">
      <c r="B107" s="122"/>
      <c r="C107" s="122"/>
      <c r="D107" s="136"/>
      <c r="E107" s="136"/>
      <c r="F107" s="120"/>
      <c r="G107" s="120"/>
      <c r="H107" s="120"/>
      <c r="I107" s="120"/>
      <c r="J107" s="120"/>
      <c r="K107" s="120"/>
      <c r="L107" s="120"/>
      <c r="M107" s="120"/>
    </row>
    <row r="108" spans="2:13" x14ac:dyDescent="0.2">
      <c r="B108" s="122"/>
      <c r="C108" s="122"/>
      <c r="D108" s="136"/>
      <c r="E108" s="136"/>
      <c r="F108" s="120"/>
      <c r="G108" s="120"/>
      <c r="H108" s="120"/>
      <c r="I108" s="120"/>
      <c r="J108" s="120"/>
      <c r="K108" s="120"/>
      <c r="L108" s="120"/>
      <c r="M108" s="120"/>
    </row>
    <row r="109" spans="2:13" x14ac:dyDescent="0.2">
      <c r="B109" s="122"/>
      <c r="C109" s="122"/>
      <c r="D109" s="121"/>
      <c r="E109" s="121"/>
      <c r="F109" s="120"/>
      <c r="G109" s="120"/>
      <c r="H109" s="120"/>
      <c r="I109" s="120"/>
      <c r="J109" s="120"/>
      <c r="K109" s="120"/>
      <c r="L109" s="120"/>
      <c r="M109" s="120"/>
    </row>
    <row r="110" spans="2:13" x14ac:dyDescent="0.2">
      <c r="B110" s="122"/>
      <c r="C110" s="122"/>
      <c r="D110" s="121"/>
      <c r="E110" s="121"/>
      <c r="F110" s="120"/>
      <c r="G110" s="120"/>
      <c r="H110" s="120"/>
      <c r="I110" s="120"/>
      <c r="J110" s="120"/>
      <c r="K110" s="120"/>
      <c r="L110" s="120"/>
      <c r="M110" s="120"/>
    </row>
    <row r="111" spans="2:13" x14ac:dyDescent="0.2">
      <c r="B111" s="120"/>
      <c r="C111" s="120"/>
      <c r="D111" s="120"/>
      <c r="E111" s="120"/>
      <c r="F111" s="120"/>
      <c r="G111" s="120"/>
      <c r="H111" s="120"/>
      <c r="I111" s="120"/>
      <c r="J111" s="120"/>
      <c r="K111" s="120"/>
      <c r="L111" s="120"/>
      <c r="M111" s="120"/>
    </row>
    <row r="112" spans="2:13" ht="13.5" thickBot="1" x14ac:dyDescent="0.25">
      <c r="C112" s="120"/>
      <c r="D112" s="138" t="s">
        <v>128</v>
      </c>
      <c r="E112" s="120"/>
      <c r="F112" s="120"/>
      <c r="G112" s="120"/>
      <c r="H112" s="120"/>
      <c r="I112" s="120"/>
      <c r="J112" s="120"/>
      <c r="K112" s="120"/>
      <c r="L112" s="120"/>
      <c r="M112" s="120"/>
    </row>
    <row r="113" spans="2:13" x14ac:dyDescent="0.2">
      <c r="B113" s="11" t="s">
        <v>157</v>
      </c>
      <c r="C113" s="15" t="s">
        <v>107</v>
      </c>
      <c r="D113" s="57"/>
      <c r="E113" s="120"/>
      <c r="F113" s="120"/>
      <c r="G113" s="120"/>
      <c r="H113" s="120"/>
      <c r="I113" s="120"/>
      <c r="J113" s="120"/>
      <c r="K113" s="120"/>
      <c r="L113" s="120"/>
      <c r="M113" s="120"/>
    </row>
    <row r="114" spans="2:13" x14ac:dyDescent="0.2">
      <c r="B114" s="12">
        <f>D8-1</f>
        <v>2025</v>
      </c>
      <c r="C114" s="16" t="s">
        <v>158</v>
      </c>
      <c r="D114" s="58"/>
      <c r="E114" s="120"/>
      <c r="F114" s="120"/>
      <c r="G114" s="120"/>
      <c r="H114" s="120"/>
      <c r="I114" s="120"/>
      <c r="J114" s="120"/>
      <c r="K114" s="120"/>
      <c r="L114" s="120"/>
      <c r="M114" s="120"/>
    </row>
    <row r="115" spans="2:13" x14ac:dyDescent="0.2">
      <c r="B115" s="12"/>
      <c r="C115" s="16" t="s">
        <v>152</v>
      </c>
      <c r="D115" s="58"/>
      <c r="E115" s="120"/>
      <c r="F115" s="120"/>
      <c r="G115" s="120"/>
      <c r="H115" s="120"/>
      <c r="I115" s="120"/>
      <c r="J115" s="120"/>
      <c r="K115" s="120"/>
      <c r="L115" s="120"/>
      <c r="M115" s="120"/>
    </row>
    <row r="116" spans="2:13" x14ac:dyDescent="0.2">
      <c r="B116" s="13"/>
      <c r="C116" s="16" t="s">
        <v>153</v>
      </c>
      <c r="D116" s="58"/>
      <c r="E116" s="120"/>
      <c r="F116" s="120"/>
      <c r="G116" s="120"/>
      <c r="H116" s="120"/>
      <c r="I116" s="120"/>
      <c r="J116" s="120"/>
      <c r="K116" s="120"/>
      <c r="L116" s="120"/>
      <c r="M116" s="120"/>
    </row>
    <row r="117" spans="2:13" x14ac:dyDescent="0.2">
      <c r="B117" s="13"/>
      <c r="C117" s="16" t="s">
        <v>154</v>
      </c>
      <c r="D117" s="59"/>
      <c r="E117" s="120"/>
      <c r="F117" s="120"/>
      <c r="G117" s="120"/>
      <c r="H117" s="120"/>
      <c r="I117" s="120"/>
      <c r="J117" s="120"/>
      <c r="K117" s="120"/>
      <c r="L117" s="120"/>
      <c r="M117" s="120"/>
    </row>
    <row r="118" spans="2:13" x14ac:dyDescent="0.2">
      <c r="B118" s="13"/>
      <c r="C118" s="16" t="s">
        <v>144</v>
      </c>
      <c r="D118" s="60">
        <f>D116+D117</f>
        <v>0</v>
      </c>
      <c r="E118" s="120"/>
      <c r="F118" s="120"/>
      <c r="G118" s="120"/>
      <c r="H118" s="120"/>
      <c r="I118" s="120"/>
      <c r="J118" s="120"/>
      <c r="K118" s="120"/>
      <c r="L118" s="120"/>
      <c r="M118" s="120"/>
    </row>
    <row r="119" spans="2:13" x14ac:dyDescent="0.2">
      <c r="B119" s="13"/>
      <c r="C119" s="16" t="s">
        <v>159</v>
      </c>
      <c r="D119" s="60">
        <f>D113-D114-D118</f>
        <v>0</v>
      </c>
      <c r="E119" s="120"/>
      <c r="F119" s="120"/>
      <c r="G119" s="120"/>
      <c r="H119" s="120"/>
      <c r="I119" s="120"/>
      <c r="J119" s="120"/>
      <c r="K119" s="120"/>
      <c r="L119" s="120"/>
      <c r="M119" s="120"/>
    </row>
    <row r="120" spans="2:13" x14ac:dyDescent="0.2">
      <c r="B120" s="13"/>
      <c r="C120" s="16" t="s">
        <v>156</v>
      </c>
      <c r="D120" s="61" t="e">
        <f>D118/D113</f>
        <v>#DIV/0!</v>
      </c>
      <c r="E120" s="120"/>
      <c r="F120" s="120"/>
      <c r="G120" s="120"/>
      <c r="H120" s="120"/>
      <c r="I120" s="120"/>
      <c r="J120" s="120"/>
      <c r="K120" s="120"/>
      <c r="L120" s="120"/>
      <c r="M120" s="120"/>
    </row>
    <row r="121" spans="2:13" ht="13.5" thickBot="1" x14ac:dyDescent="0.25">
      <c r="B121" s="14"/>
      <c r="C121" s="17" t="s">
        <v>160</v>
      </c>
      <c r="D121" s="62" t="e">
        <f>D119/D113</f>
        <v>#DIV/0!</v>
      </c>
      <c r="E121" s="120"/>
      <c r="F121" s="120"/>
      <c r="G121" s="120"/>
      <c r="H121" s="120"/>
      <c r="I121" s="120"/>
      <c r="J121" s="120"/>
      <c r="K121" s="120"/>
      <c r="L121" s="120"/>
      <c r="M121" s="120"/>
    </row>
  </sheetData>
  <mergeCells count="14">
    <mergeCell ref="B85:E87"/>
    <mergeCell ref="B73:B82"/>
    <mergeCell ref="B13:B22"/>
    <mergeCell ref="B25:B34"/>
    <mergeCell ref="B37:B46"/>
    <mergeCell ref="B49:B58"/>
    <mergeCell ref="B61:B70"/>
    <mergeCell ref="D10:E10"/>
    <mergeCell ref="D7:E7"/>
    <mergeCell ref="D6:E6"/>
    <mergeCell ref="B2:M2"/>
    <mergeCell ref="D5:E5"/>
    <mergeCell ref="D8:E8"/>
    <mergeCell ref="D9:E9"/>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6" zoomScaleNormal="100" workbookViewId="0">
      <selection activeCell="F28" sqref="F28"/>
    </sheetView>
  </sheetViews>
  <sheetFormatPr defaultColWidth="11.42578125" defaultRowHeight="12.75" x14ac:dyDescent="0.2"/>
  <cols>
    <col min="1" max="1" width="2.85546875" style="115" customWidth="1"/>
    <col min="2" max="2" width="16.5703125" style="115" customWidth="1"/>
    <col min="3" max="3" width="19.140625" style="115" customWidth="1"/>
    <col min="4" max="4" width="17.42578125" style="115" customWidth="1"/>
    <col min="5" max="5" width="18.140625" style="115" customWidth="1"/>
    <col min="6" max="6" width="17.85546875" style="115" customWidth="1"/>
    <col min="7" max="7" width="15.140625" style="115" customWidth="1"/>
    <col min="8" max="8" width="16.140625" style="115" customWidth="1"/>
    <col min="9" max="9" width="13.140625" style="115" customWidth="1"/>
    <col min="10" max="10" width="18" style="115" customWidth="1"/>
    <col min="11" max="11" width="14" style="115" customWidth="1"/>
    <col min="12" max="12" width="18.5703125" style="115" customWidth="1"/>
    <col min="13" max="13" width="15.85546875" style="115" customWidth="1"/>
    <col min="14" max="14" width="13.42578125" style="115" customWidth="1"/>
    <col min="15" max="15" width="15.85546875" style="115" customWidth="1"/>
    <col min="16" max="248" width="11.42578125" style="115"/>
    <col min="249" max="249" width="6.85546875" style="115" customWidth="1"/>
    <col min="250" max="250" width="13.85546875" style="115" customWidth="1"/>
    <col min="251" max="251" width="1.5703125" style="115" customWidth="1"/>
    <col min="252" max="259" width="13.85546875" style="115" customWidth="1"/>
    <col min="260" max="504" width="11.42578125" style="115"/>
    <col min="505" max="505" width="6.85546875" style="115" customWidth="1"/>
    <col min="506" max="506" width="13.85546875" style="115" customWidth="1"/>
    <col min="507" max="507" width="1.5703125" style="115" customWidth="1"/>
    <col min="508" max="515" width="13.85546875" style="115" customWidth="1"/>
    <col min="516" max="760" width="11.42578125" style="115"/>
    <col min="761" max="761" width="6.85546875" style="115" customWidth="1"/>
    <col min="762" max="762" width="13.85546875" style="115" customWidth="1"/>
    <col min="763" max="763" width="1.5703125" style="115" customWidth="1"/>
    <col min="764" max="771" width="13.85546875" style="115" customWidth="1"/>
    <col min="772" max="1016" width="11.42578125" style="115"/>
    <col min="1017" max="1017" width="6.85546875" style="115" customWidth="1"/>
    <col min="1018" max="1018" width="13.85546875" style="115" customWidth="1"/>
    <col min="1019" max="1019" width="1.5703125" style="115" customWidth="1"/>
    <col min="1020" max="1027" width="13.85546875" style="115" customWidth="1"/>
    <col min="1028" max="1272" width="11.42578125" style="115"/>
    <col min="1273" max="1273" width="6.85546875" style="115" customWidth="1"/>
    <col min="1274" max="1274" width="13.85546875" style="115" customWidth="1"/>
    <col min="1275" max="1275" width="1.5703125" style="115" customWidth="1"/>
    <col min="1276" max="1283" width="13.85546875" style="115" customWidth="1"/>
    <col min="1284" max="1528" width="11.42578125" style="115"/>
    <col min="1529" max="1529" width="6.85546875" style="115" customWidth="1"/>
    <col min="1530" max="1530" width="13.85546875" style="115" customWidth="1"/>
    <col min="1531" max="1531" width="1.5703125" style="115" customWidth="1"/>
    <col min="1532" max="1539" width="13.85546875" style="115" customWidth="1"/>
    <col min="1540" max="1784" width="11.42578125" style="115"/>
    <col min="1785" max="1785" width="6.85546875" style="115" customWidth="1"/>
    <col min="1786" max="1786" width="13.85546875" style="115" customWidth="1"/>
    <col min="1787" max="1787" width="1.5703125" style="115" customWidth="1"/>
    <col min="1788" max="1795" width="13.85546875" style="115" customWidth="1"/>
    <col min="1796" max="2040" width="11.42578125" style="115"/>
    <col min="2041" max="2041" width="6.85546875" style="115" customWidth="1"/>
    <col min="2042" max="2042" width="13.85546875" style="115" customWidth="1"/>
    <col min="2043" max="2043" width="1.5703125" style="115" customWidth="1"/>
    <col min="2044" max="2051" width="13.85546875" style="115" customWidth="1"/>
    <col min="2052" max="2296" width="11.42578125" style="115"/>
    <col min="2297" max="2297" width="6.85546875" style="115" customWidth="1"/>
    <col min="2298" max="2298" width="13.85546875" style="115" customWidth="1"/>
    <col min="2299" max="2299" width="1.5703125" style="115" customWidth="1"/>
    <col min="2300" max="2307" width="13.85546875" style="115" customWidth="1"/>
    <col min="2308" max="2552" width="11.42578125" style="115"/>
    <col min="2553" max="2553" width="6.85546875" style="115" customWidth="1"/>
    <col min="2554" max="2554" width="13.85546875" style="115" customWidth="1"/>
    <col min="2555" max="2555" width="1.5703125" style="115" customWidth="1"/>
    <col min="2556" max="2563" width="13.85546875" style="115" customWidth="1"/>
    <col min="2564" max="2808" width="11.42578125" style="115"/>
    <col min="2809" max="2809" width="6.85546875" style="115" customWidth="1"/>
    <col min="2810" max="2810" width="13.85546875" style="115" customWidth="1"/>
    <col min="2811" max="2811" width="1.5703125" style="115" customWidth="1"/>
    <col min="2812" max="2819" width="13.85546875" style="115" customWidth="1"/>
    <col min="2820" max="3064" width="11.42578125" style="115"/>
    <col min="3065" max="3065" width="6.85546875" style="115" customWidth="1"/>
    <col min="3066" max="3066" width="13.85546875" style="115" customWidth="1"/>
    <col min="3067" max="3067" width="1.5703125" style="115" customWidth="1"/>
    <col min="3068" max="3075" width="13.85546875" style="115" customWidth="1"/>
    <col min="3076" max="3320" width="11.42578125" style="115"/>
    <col min="3321" max="3321" width="6.85546875" style="115" customWidth="1"/>
    <col min="3322" max="3322" width="13.85546875" style="115" customWidth="1"/>
    <col min="3323" max="3323" width="1.5703125" style="115" customWidth="1"/>
    <col min="3324" max="3331" width="13.85546875" style="115" customWidth="1"/>
    <col min="3332" max="3576" width="11.42578125" style="115"/>
    <col min="3577" max="3577" width="6.85546875" style="115" customWidth="1"/>
    <col min="3578" max="3578" width="13.85546875" style="115" customWidth="1"/>
    <col min="3579" max="3579" width="1.5703125" style="115" customWidth="1"/>
    <col min="3580" max="3587" width="13.85546875" style="115" customWidth="1"/>
    <col min="3588" max="3832" width="11.42578125" style="115"/>
    <col min="3833" max="3833" width="6.85546875" style="115" customWidth="1"/>
    <col min="3834" max="3834" width="13.85546875" style="115" customWidth="1"/>
    <col min="3835" max="3835" width="1.5703125" style="115" customWidth="1"/>
    <col min="3836" max="3843" width="13.85546875" style="115" customWidth="1"/>
    <col min="3844" max="4088" width="11.42578125" style="115"/>
    <col min="4089" max="4089" width="6.85546875" style="115" customWidth="1"/>
    <col min="4090" max="4090" width="13.85546875" style="115" customWidth="1"/>
    <col min="4091" max="4091" width="1.5703125" style="115" customWidth="1"/>
    <col min="4092" max="4099" width="13.85546875" style="115" customWidth="1"/>
    <col min="4100" max="4344" width="11.42578125" style="115"/>
    <col min="4345" max="4345" width="6.85546875" style="115" customWidth="1"/>
    <col min="4346" max="4346" width="13.85546875" style="115" customWidth="1"/>
    <col min="4347" max="4347" width="1.5703125" style="115" customWidth="1"/>
    <col min="4348" max="4355" width="13.85546875" style="115" customWidth="1"/>
    <col min="4356" max="4600" width="11.42578125" style="115"/>
    <col min="4601" max="4601" width="6.85546875" style="115" customWidth="1"/>
    <col min="4602" max="4602" width="13.85546875" style="115" customWidth="1"/>
    <col min="4603" max="4603" width="1.5703125" style="115" customWidth="1"/>
    <col min="4604" max="4611" width="13.85546875" style="115" customWidth="1"/>
    <col min="4612" max="4856" width="11.42578125" style="115"/>
    <col min="4857" max="4857" width="6.85546875" style="115" customWidth="1"/>
    <col min="4858" max="4858" width="13.85546875" style="115" customWidth="1"/>
    <col min="4859" max="4859" width="1.5703125" style="115" customWidth="1"/>
    <col min="4860" max="4867" width="13.85546875" style="115" customWidth="1"/>
    <col min="4868" max="5112" width="11.42578125" style="115"/>
    <col min="5113" max="5113" width="6.85546875" style="115" customWidth="1"/>
    <col min="5114" max="5114" width="13.85546875" style="115" customWidth="1"/>
    <col min="5115" max="5115" width="1.5703125" style="115" customWidth="1"/>
    <col min="5116" max="5123" width="13.85546875" style="115" customWidth="1"/>
    <col min="5124" max="5368" width="11.42578125" style="115"/>
    <col min="5369" max="5369" width="6.85546875" style="115" customWidth="1"/>
    <col min="5370" max="5370" width="13.85546875" style="115" customWidth="1"/>
    <col min="5371" max="5371" width="1.5703125" style="115" customWidth="1"/>
    <col min="5372" max="5379" width="13.85546875" style="115" customWidth="1"/>
    <col min="5380" max="5624" width="11.42578125" style="115"/>
    <col min="5625" max="5625" width="6.85546875" style="115" customWidth="1"/>
    <col min="5626" max="5626" width="13.85546875" style="115" customWidth="1"/>
    <col min="5627" max="5627" width="1.5703125" style="115" customWidth="1"/>
    <col min="5628" max="5635" width="13.85546875" style="115" customWidth="1"/>
    <col min="5636" max="5880" width="11.42578125" style="115"/>
    <col min="5881" max="5881" width="6.85546875" style="115" customWidth="1"/>
    <col min="5882" max="5882" width="13.85546875" style="115" customWidth="1"/>
    <col min="5883" max="5883" width="1.5703125" style="115" customWidth="1"/>
    <col min="5884" max="5891" width="13.85546875" style="115" customWidth="1"/>
    <col min="5892" max="6136" width="11.42578125" style="115"/>
    <col min="6137" max="6137" width="6.85546875" style="115" customWidth="1"/>
    <col min="6138" max="6138" width="13.85546875" style="115" customWidth="1"/>
    <col min="6139" max="6139" width="1.5703125" style="115" customWidth="1"/>
    <col min="6140" max="6147" width="13.85546875" style="115" customWidth="1"/>
    <col min="6148" max="6392" width="11.42578125" style="115"/>
    <col min="6393" max="6393" width="6.85546875" style="115" customWidth="1"/>
    <col min="6394" max="6394" width="13.85546875" style="115" customWidth="1"/>
    <col min="6395" max="6395" width="1.5703125" style="115" customWidth="1"/>
    <col min="6396" max="6403" width="13.85546875" style="115" customWidth="1"/>
    <col min="6404" max="6648" width="11.42578125" style="115"/>
    <col min="6649" max="6649" width="6.85546875" style="115" customWidth="1"/>
    <col min="6650" max="6650" width="13.85546875" style="115" customWidth="1"/>
    <col min="6651" max="6651" width="1.5703125" style="115" customWidth="1"/>
    <col min="6652" max="6659" width="13.85546875" style="115" customWidth="1"/>
    <col min="6660" max="6904" width="11.42578125" style="115"/>
    <col min="6905" max="6905" width="6.85546875" style="115" customWidth="1"/>
    <col min="6906" max="6906" width="13.85546875" style="115" customWidth="1"/>
    <col min="6907" max="6907" width="1.5703125" style="115" customWidth="1"/>
    <col min="6908" max="6915" width="13.85546875" style="115" customWidth="1"/>
    <col min="6916" max="7160" width="11.42578125" style="115"/>
    <col min="7161" max="7161" width="6.85546875" style="115" customWidth="1"/>
    <col min="7162" max="7162" width="13.85546875" style="115" customWidth="1"/>
    <col min="7163" max="7163" width="1.5703125" style="115" customWidth="1"/>
    <col min="7164" max="7171" width="13.85546875" style="115" customWidth="1"/>
    <col min="7172" max="7416" width="11.42578125" style="115"/>
    <col min="7417" max="7417" width="6.85546875" style="115" customWidth="1"/>
    <col min="7418" max="7418" width="13.85546875" style="115" customWidth="1"/>
    <col min="7419" max="7419" width="1.5703125" style="115" customWidth="1"/>
    <col min="7420" max="7427" width="13.85546875" style="115" customWidth="1"/>
    <col min="7428" max="7672" width="11.42578125" style="115"/>
    <col min="7673" max="7673" width="6.85546875" style="115" customWidth="1"/>
    <col min="7674" max="7674" width="13.85546875" style="115" customWidth="1"/>
    <col min="7675" max="7675" width="1.5703125" style="115" customWidth="1"/>
    <col min="7676" max="7683" width="13.85546875" style="115" customWidth="1"/>
    <col min="7684" max="7928" width="11.42578125" style="115"/>
    <col min="7929" max="7929" width="6.85546875" style="115" customWidth="1"/>
    <col min="7930" max="7930" width="13.85546875" style="115" customWidth="1"/>
    <col min="7931" max="7931" width="1.5703125" style="115" customWidth="1"/>
    <col min="7932" max="7939" width="13.85546875" style="115" customWidth="1"/>
    <col min="7940" max="8184" width="11.42578125" style="115"/>
    <col min="8185" max="8185" width="6.85546875" style="115" customWidth="1"/>
    <col min="8186" max="8186" width="13.85546875" style="115" customWidth="1"/>
    <col min="8187" max="8187" width="1.5703125" style="115" customWidth="1"/>
    <col min="8188" max="8195" width="13.85546875" style="115" customWidth="1"/>
    <col min="8196" max="8440" width="11.42578125" style="115"/>
    <col min="8441" max="8441" width="6.85546875" style="115" customWidth="1"/>
    <col min="8442" max="8442" width="13.85546875" style="115" customWidth="1"/>
    <col min="8443" max="8443" width="1.5703125" style="115" customWidth="1"/>
    <col min="8444" max="8451" width="13.85546875" style="115" customWidth="1"/>
    <col min="8452" max="8696" width="11.42578125" style="115"/>
    <col min="8697" max="8697" width="6.85546875" style="115" customWidth="1"/>
    <col min="8698" max="8698" width="13.85546875" style="115" customWidth="1"/>
    <col min="8699" max="8699" width="1.5703125" style="115" customWidth="1"/>
    <col min="8700" max="8707" width="13.85546875" style="115" customWidth="1"/>
    <col min="8708" max="8952" width="11.42578125" style="115"/>
    <col min="8953" max="8953" width="6.85546875" style="115" customWidth="1"/>
    <col min="8954" max="8954" width="13.85546875" style="115" customWidth="1"/>
    <col min="8955" max="8955" width="1.5703125" style="115" customWidth="1"/>
    <col min="8956" max="8963" width="13.85546875" style="115" customWidth="1"/>
    <col min="8964" max="9208" width="11.42578125" style="115"/>
    <col min="9209" max="9209" width="6.85546875" style="115" customWidth="1"/>
    <col min="9210" max="9210" width="13.85546875" style="115" customWidth="1"/>
    <col min="9211" max="9211" width="1.5703125" style="115" customWidth="1"/>
    <col min="9212" max="9219" width="13.85546875" style="115" customWidth="1"/>
    <col min="9220" max="9464" width="11.42578125" style="115"/>
    <col min="9465" max="9465" width="6.85546875" style="115" customWidth="1"/>
    <col min="9466" max="9466" width="13.85546875" style="115" customWidth="1"/>
    <col min="9467" max="9467" width="1.5703125" style="115" customWidth="1"/>
    <col min="9468" max="9475" width="13.85546875" style="115" customWidth="1"/>
    <col min="9476" max="9720" width="11.42578125" style="115"/>
    <col min="9721" max="9721" width="6.85546875" style="115" customWidth="1"/>
    <col min="9722" max="9722" width="13.85546875" style="115" customWidth="1"/>
    <col min="9723" max="9723" width="1.5703125" style="115" customWidth="1"/>
    <col min="9724" max="9731" width="13.85546875" style="115" customWidth="1"/>
    <col min="9732" max="9976" width="11.42578125" style="115"/>
    <col min="9977" max="9977" width="6.85546875" style="115" customWidth="1"/>
    <col min="9978" max="9978" width="13.85546875" style="115" customWidth="1"/>
    <col min="9979" max="9979" width="1.5703125" style="115" customWidth="1"/>
    <col min="9980" max="9987" width="13.85546875" style="115" customWidth="1"/>
    <col min="9988" max="10232" width="11.42578125" style="115"/>
    <col min="10233" max="10233" width="6.85546875" style="115" customWidth="1"/>
    <col min="10234" max="10234" width="13.85546875" style="115" customWidth="1"/>
    <col min="10235" max="10235" width="1.5703125" style="115" customWidth="1"/>
    <col min="10236" max="10243" width="13.85546875" style="115" customWidth="1"/>
    <col min="10244" max="10488" width="11.42578125" style="115"/>
    <col min="10489" max="10489" width="6.85546875" style="115" customWidth="1"/>
    <col min="10490" max="10490" width="13.85546875" style="115" customWidth="1"/>
    <col min="10491" max="10491" width="1.5703125" style="115" customWidth="1"/>
    <col min="10492" max="10499" width="13.85546875" style="115" customWidth="1"/>
    <col min="10500" max="10744" width="11.42578125" style="115"/>
    <col min="10745" max="10745" width="6.85546875" style="115" customWidth="1"/>
    <col min="10746" max="10746" width="13.85546875" style="115" customWidth="1"/>
    <col min="10747" max="10747" width="1.5703125" style="115" customWidth="1"/>
    <col min="10748" max="10755" width="13.85546875" style="115" customWidth="1"/>
    <col min="10756" max="11000" width="11.42578125" style="115"/>
    <col min="11001" max="11001" width="6.85546875" style="115" customWidth="1"/>
    <col min="11002" max="11002" width="13.85546875" style="115" customWidth="1"/>
    <col min="11003" max="11003" width="1.5703125" style="115" customWidth="1"/>
    <col min="11004" max="11011" width="13.85546875" style="115" customWidth="1"/>
    <col min="11012" max="11256" width="11.42578125" style="115"/>
    <col min="11257" max="11257" width="6.85546875" style="115" customWidth="1"/>
    <col min="11258" max="11258" width="13.85546875" style="115" customWidth="1"/>
    <col min="11259" max="11259" width="1.5703125" style="115" customWidth="1"/>
    <col min="11260" max="11267" width="13.85546875" style="115" customWidth="1"/>
    <col min="11268" max="11512" width="11.42578125" style="115"/>
    <col min="11513" max="11513" width="6.85546875" style="115" customWidth="1"/>
    <col min="11514" max="11514" width="13.85546875" style="115" customWidth="1"/>
    <col min="11515" max="11515" width="1.5703125" style="115" customWidth="1"/>
    <col min="11516" max="11523" width="13.85546875" style="115" customWidth="1"/>
    <col min="11524" max="11768" width="11.42578125" style="115"/>
    <col min="11769" max="11769" width="6.85546875" style="115" customWidth="1"/>
    <col min="11770" max="11770" width="13.85546875" style="115" customWidth="1"/>
    <col min="11771" max="11771" width="1.5703125" style="115" customWidth="1"/>
    <col min="11772" max="11779" width="13.85546875" style="115" customWidth="1"/>
    <col min="11780" max="12024" width="11.42578125" style="115"/>
    <col min="12025" max="12025" width="6.85546875" style="115" customWidth="1"/>
    <col min="12026" max="12026" width="13.85546875" style="115" customWidth="1"/>
    <col min="12027" max="12027" width="1.5703125" style="115" customWidth="1"/>
    <col min="12028" max="12035" width="13.85546875" style="115" customWidth="1"/>
    <col min="12036" max="12280" width="11.42578125" style="115"/>
    <col min="12281" max="12281" width="6.85546875" style="115" customWidth="1"/>
    <col min="12282" max="12282" width="13.85546875" style="115" customWidth="1"/>
    <col min="12283" max="12283" width="1.5703125" style="115" customWidth="1"/>
    <col min="12284" max="12291" width="13.85546875" style="115" customWidth="1"/>
    <col min="12292" max="12536" width="11.42578125" style="115"/>
    <col min="12537" max="12537" width="6.85546875" style="115" customWidth="1"/>
    <col min="12538" max="12538" width="13.85546875" style="115" customWidth="1"/>
    <col min="12539" max="12539" width="1.5703125" style="115" customWidth="1"/>
    <col min="12540" max="12547" width="13.85546875" style="115" customWidth="1"/>
    <col min="12548" max="12792" width="11.42578125" style="115"/>
    <col min="12793" max="12793" width="6.85546875" style="115" customWidth="1"/>
    <col min="12794" max="12794" width="13.85546875" style="115" customWidth="1"/>
    <col min="12795" max="12795" width="1.5703125" style="115" customWidth="1"/>
    <col min="12796" max="12803" width="13.85546875" style="115" customWidth="1"/>
    <col min="12804" max="13048" width="11.42578125" style="115"/>
    <col min="13049" max="13049" width="6.85546875" style="115" customWidth="1"/>
    <col min="13050" max="13050" width="13.85546875" style="115" customWidth="1"/>
    <col min="13051" max="13051" width="1.5703125" style="115" customWidth="1"/>
    <col min="13052" max="13059" width="13.85546875" style="115" customWidth="1"/>
    <col min="13060" max="13304" width="11.42578125" style="115"/>
    <col min="13305" max="13305" width="6.85546875" style="115" customWidth="1"/>
    <col min="13306" max="13306" width="13.85546875" style="115" customWidth="1"/>
    <col min="13307" max="13307" width="1.5703125" style="115" customWidth="1"/>
    <col min="13308" max="13315" width="13.85546875" style="115" customWidth="1"/>
    <col min="13316" max="13560" width="11.42578125" style="115"/>
    <col min="13561" max="13561" width="6.85546875" style="115" customWidth="1"/>
    <col min="13562" max="13562" width="13.85546875" style="115" customWidth="1"/>
    <col min="13563" max="13563" width="1.5703125" style="115" customWidth="1"/>
    <col min="13564" max="13571" width="13.85546875" style="115" customWidth="1"/>
    <col min="13572" max="13816" width="11.42578125" style="115"/>
    <col min="13817" max="13817" width="6.85546875" style="115" customWidth="1"/>
    <col min="13818" max="13818" width="13.85546875" style="115" customWidth="1"/>
    <col min="13819" max="13819" width="1.5703125" style="115" customWidth="1"/>
    <col min="13820" max="13827" width="13.85546875" style="115" customWidth="1"/>
    <col min="13828" max="14072" width="11.42578125" style="115"/>
    <col min="14073" max="14073" width="6.85546875" style="115" customWidth="1"/>
    <col min="14074" max="14074" width="13.85546875" style="115" customWidth="1"/>
    <col min="14075" max="14075" width="1.5703125" style="115" customWidth="1"/>
    <col min="14076" max="14083" width="13.85546875" style="115" customWidth="1"/>
    <col min="14084" max="14328" width="11.42578125" style="115"/>
    <col min="14329" max="14329" width="6.85546875" style="115" customWidth="1"/>
    <col min="14330" max="14330" width="13.85546875" style="115" customWidth="1"/>
    <col min="14331" max="14331" width="1.5703125" style="115" customWidth="1"/>
    <col min="14332" max="14339" width="13.85546875" style="115" customWidth="1"/>
    <col min="14340" max="14584" width="11.42578125" style="115"/>
    <col min="14585" max="14585" width="6.85546875" style="115" customWidth="1"/>
    <col min="14586" max="14586" width="13.85546875" style="115" customWidth="1"/>
    <col min="14587" max="14587" width="1.5703125" style="115" customWidth="1"/>
    <col min="14588" max="14595" width="13.85546875" style="115" customWidth="1"/>
    <col min="14596" max="14840" width="11.42578125" style="115"/>
    <col min="14841" max="14841" width="6.85546875" style="115" customWidth="1"/>
    <col min="14842" max="14842" width="13.85546875" style="115" customWidth="1"/>
    <col min="14843" max="14843" width="1.5703125" style="115" customWidth="1"/>
    <col min="14844" max="14851" width="13.85546875" style="115" customWidth="1"/>
    <col min="14852" max="15096" width="11.42578125" style="115"/>
    <col min="15097" max="15097" width="6.85546875" style="115" customWidth="1"/>
    <col min="15098" max="15098" width="13.85546875" style="115" customWidth="1"/>
    <col min="15099" max="15099" width="1.5703125" style="115" customWidth="1"/>
    <col min="15100" max="15107" width="13.85546875" style="115" customWidth="1"/>
    <col min="15108" max="15352" width="11.42578125" style="115"/>
    <col min="15353" max="15353" width="6.85546875" style="115" customWidth="1"/>
    <col min="15354" max="15354" width="13.85546875" style="115" customWidth="1"/>
    <col min="15355" max="15355" width="1.5703125" style="115" customWidth="1"/>
    <col min="15356" max="15363" width="13.85546875" style="115" customWidth="1"/>
    <col min="15364" max="15608" width="11.42578125" style="115"/>
    <col min="15609" max="15609" width="6.85546875" style="115" customWidth="1"/>
    <col min="15610" max="15610" width="13.85546875" style="115" customWidth="1"/>
    <col min="15611" max="15611" width="1.5703125" style="115" customWidth="1"/>
    <col min="15612" max="15619" width="13.85546875" style="115" customWidth="1"/>
    <col min="15620" max="15864" width="11.42578125" style="115"/>
    <col min="15865" max="15865" width="6.85546875" style="115" customWidth="1"/>
    <col min="15866" max="15866" width="13.85546875" style="115" customWidth="1"/>
    <col min="15867" max="15867" width="1.5703125" style="115" customWidth="1"/>
    <col min="15868" max="15875" width="13.85546875" style="115" customWidth="1"/>
    <col min="15876" max="16120" width="11.42578125" style="115"/>
    <col min="16121" max="16121" width="6.85546875" style="115" customWidth="1"/>
    <col min="16122" max="16122" width="13.85546875" style="115" customWidth="1"/>
    <col min="16123" max="16123" width="1.5703125" style="115" customWidth="1"/>
    <col min="16124" max="16131" width="13.85546875" style="115" customWidth="1"/>
    <col min="16132" max="16384" width="11.42578125" style="115"/>
  </cols>
  <sheetData>
    <row r="1" spans="2:12" ht="13.5" thickBot="1" x14ac:dyDescent="0.25"/>
    <row r="2" spans="2:12" ht="47.1" customHeight="1" thickBot="1" x14ac:dyDescent="0.25">
      <c r="B2" s="437" t="s">
        <v>58</v>
      </c>
      <c r="C2" s="438"/>
      <c r="D2" s="438"/>
      <c r="E2" s="438"/>
    </row>
    <row r="3" spans="2:12" ht="14.25" customHeight="1" x14ac:dyDescent="0.4">
      <c r="C3" s="117"/>
      <c r="D3" s="117"/>
      <c r="E3" s="117"/>
    </row>
    <row r="4" spans="2:12" ht="14.25" customHeight="1" x14ac:dyDescent="0.2">
      <c r="B4" s="118" t="s">
        <v>103</v>
      </c>
      <c r="C4" s="322" t="str">
        <f>Header!$D$4</f>
        <v>ZARAI REINSURANCE CORPORATION</v>
      </c>
      <c r="D4" s="118"/>
      <c r="E4" s="114"/>
      <c r="H4" s="114"/>
      <c r="I4" s="114"/>
    </row>
    <row r="5" spans="2:12" ht="14.25" customHeight="1" x14ac:dyDescent="0.2">
      <c r="B5" s="118" t="s">
        <v>3</v>
      </c>
      <c r="C5" s="322" t="str">
        <f>Header!$D$5</f>
        <v>Kenya</v>
      </c>
      <c r="D5" s="118"/>
      <c r="E5" s="119"/>
      <c r="H5" s="114"/>
      <c r="I5" s="114"/>
      <c r="J5" s="114"/>
      <c r="K5" s="114"/>
    </row>
    <row r="6" spans="2:12" s="114" customFormat="1" ht="14.45" customHeight="1" x14ac:dyDescent="0.2">
      <c r="B6" s="118" t="s">
        <v>4</v>
      </c>
      <c r="C6" s="322" t="str">
        <f>Header!$D$6</f>
        <v>KES</v>
      </c>
      <c r="D6" s="118"/>
      <c r="E6" s="119"/>
    </row>
    <row r="7" spans="2:12" s="114" customFormat="1" ht="14.45" customHeight="1" x14ac:dyDescent="0.2">
      <c r="B7" s="118" t="s">
        <v>106</v>
      </c>
      <c r="C7" s="321"/>
      <c r="D7" s="118"/>
      <c r="E7" s="119"/>
      <c r="L7" s="119"/>
    </row>
    <row r="8" spans="2:12" s="114" customFormat="1" ht="14.45" customHeight="1" x14ac:dyDescent="0.2">
      <c r="B8" s="118" t="s">
        <v>119</v>
      </c>
      <c r="C8" s="321"/>
      <c r="D8" s="119" t="s">
        <v>295</v>
      </c>
      <c r="L8" s="119"/>
    </row>
    <row r="9" spans="2:12" s="114" customFormat="1" ht="14.45" customHeight="1" x14ac:dyDescent="0.2">
      <c r="B9" s="118" t="s">
        <v>161</v>
      </c>
      <c r="C9" s="321"/>
      <c r="D9" s="118"/>
      <c r="E9" s="119"/>
      <c r="L9" s="119"/>
    </row>
    <row r="10" spans="2:12" s="114" customFormat="1" ht="14.45" customHeight="1" x14ac:dyDescent="0.2">
      <c r="I10" s="118"/>
      <c r="L10" s="119"/>
    </row>
    <row r="11" spans="2:12" s="114" customFormat="1" ht="14.45" customHeight="1" x14ac:dyDescent="0.2">
      <c r="I11" s="118"/>
      <c r="L11" s="119"/>
    </row>
    <row r="12" spans="2:12" s="114" customFormat="1" ht="14.45" customHeight="1" thickBot="1" x14ac:dyDescent="0.25">
      <c r="I12" s="118"/>
      <c r="L12" s="119"/>
    </row>
    <row r="13" spans="2:12" s="114" customFormat="1" ht="14.25" customHeight="1" thickBot="1" x14ac:dyDescent="0.25">
      <c r="B13" s="124"/>
      <c r="D13" s="516" t="s">
        <v>121</v>
      </c>
      <c r="E13" s="520"/>
    </row>
    <row r="14" spans="2:12" s="114" customFormat="1" ht="14.45" customHeight="1" thickBot="1" x14ac:dyDescent="0.25">
      <c r="B14" s="112" t="s">
        <v>162</v>
      </c>
      <c r="C14" s="48" t="s">
        <v>163</v>
      </c>
      <c r="D14" s="110" t="s">
        <v>329</v>
      </c>
      <c r="E14" s="323" t="s">
        <v>164</v>
      </c>
    </row>
    <row r="15" spans="2:12" s="114" customFormat="1" ht="14.45" customHeight="1" x14ac:dyDescent="0.2">
      <c r="B15" s="87">
        <v>1</v>
      </c>
      <c r="C15" s="111"/>
      <c r="D15" s="234"/>
      <c r="E15" s="346"/>
    </row>
    <row r="16" spans="2:12" s="114" customFormat="1" ht="14.45" customHeight="1" x14ac:dyDescent="0.2">
      <c r="B16" s="88">
        <f t="shared" ref="B16:B28" si="0">B15+1</f>
        <v>2</v>
      </c>
      <c r="C16" s="89"/>
      <c r="D16" s="235"/>
      <c r="E16" s="347"/>
    </row>
    <row r="17" spans="2:5" s="114" customFormat="1" ht="14.45" customHeight="1" x14ac:dyDescent="0.2">
      <c r="B17" s="88">
        <f t="shared" si="0"/>
        <v>3</v>
      </c>
      <c r="C17" s="89"/>
      <c r="D17" s="235"/>
      <c r="E17" s="347"/>
    </row>
    <row r="18" spans="2:5" s="114" customFormat="1" ht="14.45" customHeight="1" x14ac:dyDescent="0.2">
      <c r="B18" s="88">
        <f t="shared" si="0"/>
        <v>4</v>
      </c>
      <c r="C18" s="89"/>
      <c r="D18" s="235"/>
      <c r="E18" s="347"/>
    </row>
    <row r="19" spans="2:5" s="114" customFormat="1" ht="14.45" customHeight="1" x14ac:dyDescent="0.2">
      <c r="B19" s="88">
        <f t="shared" si="0"/>
        <v>5</v>
      </c>
      <c r="C19" s="89"/>
      <c r="D19" s="235"/>
      <c r="E19" s="347"/>
    </row>
    <row r="20" spans="2:5" s="114" customFormat="1" ht="14.45" customHeight="1" x14ac:dyDescent="0.2">
      <c r="B20" s="88">
        <f t="shared" si="0"/>
        <v>6</v>
      </c>
      <c r="C20" s="89"/>
      <c r="D20" s="235"/>
      <c r="E20" s="347"/>
    </row>
    <row r="21" spans="2:5" s="114" customFormat="1" ht="14.45" customHeight="1" x14ac:dyDescent="0.2">
      <c r="B21" s="88">
        <f t="shared" si="0"/>
        <v>7</v>
      </c>
      <c r="C21" s="89"/>
      <c r="D21" s="235"/>
      <c r="E21" s="347"/>
    </row>
    <row r="22" spans="2:5" s="114" customFormat="1" ht="14.45" customHeight="1" x14ac:dyDescent="0.2">
      <c r="B22" s="88">
        <f t="shared" si="0"/>
        <v>8</v>
      </c>
      <c r="C22" s="89"/>
      <c r="D22" s="235"/>
      <c r="E22" s="347"/>
    </row>
    <row r="23" spans="2:5" s="114" customFormat="1" ht="14.45" customHeight="1" x14ac:dyDescent="0.2">
      <c r="B23" s="88">
        <f t="shared" si="0"/>
        <v>9</v>
      </c>
      <c r="C23" s="89"/>
      <c r="D23" s="235"/>
      <c r="E23" s="347"/>
    </row>
    <row r="24" spans="2:5" s="114" customFormat="1" ht="14.45" customHeight="1" x14ac:dyDescent="0.2">
      <c r="B24" s="88">
        <f t="shared" si="0"/>
        <v>10</v>
      </c>
      <c r="C24" s="89"/>
      <c r="D24" s="235"/>
      <c r="E24" s="347"/>
    </row>
    <row r="25" spans="2:5" ht="13.35" customHeight="1" x14ac:dyDescent="0.2">
      <c r="B25" s="88">
        <f t="shared" si="0"/>
        <v>11</v>
      </c>
      <c r="C25" s="89"/>
      <c r="D25" s="235"/>
      <c r="E25" s="347"/>
    </row>
    <row r="26" spans="2:5" ht="13.35" customHeight="1" x14ac:dyDescent="0.2">
      <c r="B26" s="88">
        <f t="shared" si="0"/>
        <v>12</v>
      </c>
      <c r="C26" s="89"/>
      <c r="D26" s="235"/>
      <c r="E26" s="347"/>
    </row>
    <row r="27" spans="2:5" x14ac:dyDescent="0.2">
      <c r="B27" s="88">
        <f t="shared" si="0"/>
        <v>13</v>
      </c>
      <c r="C27" s="89"/>
      <c r="D27" s="235"/>
      <c r="E27" s="347"/>
    </row>
    <row r="28" spans="2:5" x14ac:dyDescent="0.2">
      <c r="B28" s="88">
        <f t="shared" si="0"/>
        <v>14</v>
      </c>
      <c r="C28" s="89"/>
      <c r="D28" s="235"/>
      <c r="E28" s="347"/>
    </row>
    <row r="29" spans="2:5" x14ac:dyDescent="0.2">
      <c r="B29" s="88">
        <f t="shared" ref="B29:B33" si="1">B28+1</f>
        <v>15</v>
      </c>
      <c r="C29" s="89"/>
      <c r="D29" s="235"/>
      <c r="E29" s="347"/>
    </row>
    <row r="30" spans="2:5" x14ac:dyDescent="0.2">
      <c r="B30" s="88">
        <f t="shared" si="1"/>
        <v>16</v>
      </c>
      <c r="C30" s="89"/>
      <c r="D30" s="235"/>
      <c r="E30" s="347"/>
    </row>
    <row r="31" spans="2:5" x14ac:dyDescent="0.2">
      <c r="B31" s="88">
        <f t="shared" si="1"/>
        <v>17</v>
      </c>
      <c r="C31" s="89"/>
      <c r="D31" s="235"/>
      <c r="E31" s="347"/>
    </row>
    <row r="32" spans="2:5" x14ac:dyDescent="0.2">
      <c r="B32" s="88">
        <f t="shared" si="1"/>
        <v>18</v>
      </c>
      <c r="C32" s="89"/>
      <c r="D32" s="235"/>
      <c r="E32" s="347"/>
    </row>
    <row r="33" spans="2:25" x14ac:dyDescent="0.2">
      <c r="B33" s="88">
        <f t="shared" si="1"/>
        <v>19</v>
      </c>
      <c r="C33" s="89"/>
      <c r="D33" s="235"/>
      <c r="E33" s="347"/>
    </row>
    <row r="34" spans="2:25" ht="12.75" customHeight="1" thickBot="1" x14ac:dyDescent="0.25">
      <c r="B34" s="90" t="s">
        <v>166</v>
      </c>
      <c r="C34" s="91"/>
      <c r="D34" s="236"/>
      <c r="E34" s="347"/>
    </row>
    <row r="35" spans="2:25" ht="13.5" thickBot="1" x14ac:dyDescent="0.25">
      <c r="B35" s="125"/>
      <c r="C35" s="92" t="s">
        <v>167</v>
      </c>
      <c r="D35" s="93">
        <f t="shared" ref="D35:E35" si="2">SUM(D15:D34)</f>
        <v>0</v>
      </c>
      <c r="E35" s="348">
        <f t="shared" si="2"/>
        <v>0</v>
      </c>
    </row>
    <row r="36" spans="2:25" s="114" customFormat="1" x14ac:dyDescent="0.2">
      <c r="O36" s="115"/>
      <c r="P36" s="115"/>
      <c r="Q36" s="115"/>
      <c r="R36" s="115"/>
      <c r="S36" s="115"/>
      <c r="T36" s="115"/>
      <c r="U36" s="115"/>
      <c r="V36" s="115"/>
      <c r="W36" s="115"/>
      <c r="X36" s="115"/>
      <c r="Y36" s="115"/>
    </row>
    <row r="37" spans="2:25" s="114" customFormat="1" x14ac:dyDescent="0.2">
      <c r="O37" s="115"/>
      <c r="P37" s="115"/>
      <c r="Q37" s="115"/>
      <c r="R37" s="115"/>
      <c r="S37" s="115"/>
      <c r="T37" s="115"/>
      <c r="U37" s="115"/>
      <c r="V37" s="115"/>
      <c r="W37" s="115"/>
      <c r="X37" s="115"/>
      <c r="Y37" s="115"/>
    </row>
    <row r="38" spans="2:25" s="114" customFormat="1" x14ac:dyDescent="0.2">
      <c r="O38" s="115"/>
      <c r="P38" s="115"/>
      <c r="Q38" s="115"/>
      <c r="R38" s="115"/>
      <c r="S38" s="115"/>
      <c r="T38" s="115"/>
      <c r="U38" s="115"/>
      <c r="V38" s="115"/>
      <c r="W38" s="115"/>
      <c r="X38" s="115"/>
      <c r="Y38" s="115"/>
    </row>
    <row r="39" spans="2:25" ht="13.35" customHeight="1" x14ac:dyDescent="0.2"/>
    <row r="40" spans="2:25" ht="13.5" thickBot="1" x14ac:dyDescent="0.25">
      <c r="B40" s="115" t="s">
        <v>256</v>
      </c>
    </row>
    <row r="41" spans="2:25" ht="13.5" thickBot="1" x14ac:dyDescent="0.25">
      <c r="B41" s="124"/>
      <c r="C41" s="114"/>
      <c r="D41" s="516" t="s">
        <v>257</v>
      </c>
      <c r="E41" s="517"/>
      <c r="F41" s="517"/>
      <c r="G41" s="517"/>
      <c r="H41" s="517"/>
      <c r="I41" s="517"/>
      <c r="J41" s="517"/>
      <c r="K41" s="517"/>
      <c r="L41" s="517"/>
      <c r="M41" s="520"/>
    </row>
    <row r="42" spans="2:25" ht="13.5" thickBot="1" x14ac:dyDescent="0.25">
      <c r="B42" s="112"/>
      <c r="C42" s="48"/>
      <c r="D42" s="529" t="s">
        <v>330</v>
      </c>
      <c r="E42" s="530"/>
      <c r="F42" s="529" t="s">
        <v>331</v>
      </c>
      <c r="G42" s="530"/>
      <c r="H42" s="529" t="s">
        <v>258</v>
      </c>
      <c r="I42" s="530"/>
      <c r="J42" s="529" t="s">
        <v>185</v>
      </c>
      <c r="K42" s="530"/>
      <c r="L42" s="529" t="s">
        <v>332</v>
      </c>
      <c r="M42" s="530"/>
    </row>
    <row r="43" spans="2:25" ht="13.5" thickBot="1" x14ac:dyDescent="0.25">
      <c r="B43" s="112" t="s">
        <v>162</v>
      </c>
      <c r="C43" s="48" t="s">
        <v>163</v>
      </c>
      <c r="D43" s="110" t="s">
        <v>329</v>
      </c>
      <c r="E43" s="323" t="s">
        <v>164</v>
      </c>
      <c r="F43" s="110" t="s">
        <v>329</v>
      </c>
      <c r="G43" s="323" t="s">
        <v>164</v>
      </c>
      <c r="H43" s="110" t="s">
        <v>329</v>
      </c>
      <c r="I43" s="323" t="s">
        <v>164</v>
      </c>
      <c r="J43" s="110" t="s">
        <v>329</v>
      </c>
      <c r="K43" s="323" t="s">
        <v>164</v>
      </c>
      <c r="L43" s="110" t="s">
        <v>329</v>
      </c>
      <c r="M43" s="323" t="s">
        <v>164</v>
      </c>
    </row>
    <row r="44" spans="2:25" x14ac:dyDescent="0.2">
      <c r="B44" s="87">
        <v>1</v>
      </c>
      <c r="C44" s="111"/>
      <c r="D44" s="234"/>
      <c r="E44" s="346"/>
      <c r="F44" s="234"/>
      <c r="G44" s="346"/>
      <c r="H44" s="234"/>
      <c r="I44" s="346"/>
      <c r="J44" s="234"/>
      <c r="K44" s="346"/>
      <c r="L44" s="234"/>
      <c r="M44" s="346"/>
    </row>
    <row r="45" spans="2:25" x14ac:dyDescent="0.2">
      <c r="B45" s="88">
        <f t="shared" ref="B45:B62" si="3">B44+1</f>
        <v>2</v>
      </c>
      <c r="C45" s="89"/>
      <c r="D45" s="235"/>
      <c r="E45" s="347"/>
      <c r="F45" s="235"/>
      <c r="G45" s="347"/>
      <c r="H45" s="235"/>
      <c r="I45" s="347"/>
      <c r="J45" s="235"/>
      <c r="K45" s="347"/>
      <c r="L45" s="235"/>
      <c r="M45" s="347"/>
    </row>
    <row r="46" spans="2:25" x14ac:dyDescent="0.2">
      <c r="B46" s="88">
        <f t="shared" si="3"/>
        <v>3</v>
      </c>
      <c r="C46" s="89"/>
      <c r="D46" s="235"/>
      <c r="E46" s="347"/>
      <c r="F46" s="235"/>
      <c r="G46" s="347"/>
      <c r="H46" s="235"/>
      <c r="I46" s="347"/>
      <c r="J46" s="235"/>
      <c r="K46" s="347"/>
      <c r="L46" s="235"/>
      <c r="M46" s="347"/>
    </row>
    <row r="47" spans="2:25" x14ac:dyDescent="0.2">
      <c r="B47" s="88">
        <f t="shared" si="3"/>
        <v>4</v>
      </c>
      <c r="C47" s="89"/>
      <c r="D47" s="235"/>
      <c r="E47" s="347"/>
      <c r="F47" s="235"/>
      <c r="G47" s="347"/>
      <c r="H47" s="235"/>
      <c r="I47" s="347"/>
      <c r="J47" s="235"/>
      <c r="K47" s="347"/>
      <c r="L47" s="235"/>
      <c r="M47" s="347"/>
    </row>
    <row r="48" spans="2:25" x14ac:dyDescent="0.2">
      <c r="B48" s="88">
        <f t="shared" si="3"/>
        <v>5</v>
      </c>
      <c r="C48" s="89"/>
      <c r="D48" s="235"/>
      <c r="E48" s="347"/>
      <c r="F48" s="235"/>
      <c r="G48" s="347"/>
      <c r="H48" s="235"/>
      <c r="I48" s="347"/>
      <c r="J48" s="235"/>
      <c r="K48" s="347"/>
      <c r="L48" s="235"/>
      <c r="M48" s="347"/>
    </row>
    <row r="49" spans="2:13" x14ac:dyDescent="0.2">
      <c r="B49" s="88">
        <f t="shared" si="3"/>
        <v>6</v>
      </c>
      <c r="C49" s="89"/>
      <c r="D49" s="235"/>
      <c r="E49" s="347"/>
      <c r="F49" s="235"/>
      <c r="G49" s="347"/>
      <c r="H49" s="235"/>
      <c r="I49" s="347"/>
      <c r="J49" s="235"/>
      <c r="K49" s="347"/>
      <c r="L49" s="235"/>
      <c r="M49" s="347"/>
    </row>
    <row r="50" spans="2:13" x14ac:dyDescent="0.2">
      <c r="B50" s="88">
        <f t="shared" si="3"/>
        <v>7</v>
      </c>
      <c r="C50" s="89"/>
      <c r="D50" s="235"/>
      <c r="E50" s="347"/>
      <c r="F50" s="235"/>
      <c r="G50" s="347"/>
      <c r="H50" s="235"/>
      <c r="I50" s="347"/>
      <c r="J50" s="235"/>
      <c r="K50" s="347"/>
      <c r="L50" s="235"/>
      <c r="M50" s="347"/>
    </row>
    <row r="51" spans="2:13" x14ac:dyDescent="0.2">
      <c r="B51" s="88">
        <f t="shared" si="3"/>
        <v>8</v>
      </c>
      <c r="C51" s="89"/>
      <c r="D51" s="235"/>
      <c r="E51" s="347"/>
      <c r="F51" s="235"/>
      <c r="G51" s="347"/>
      <c r="H51" s="235"/>
      <c r="I51" s="347"/>
      <c r="J51" s="235"/>
      <c r="K51" s="347"/>
      <c r="L51" s="235"/>
      <c r="M51" s="347"/>
    </row>
    <row r="52" spans="2:13" x14ac:dyDescent="0.2">
      <c r="B52" s="88">
        <f t="shared" si="3"/>
        <v>9</v>
      </c>
      <c r="C52" s="89"/>
      <c r="D52" s="235"/>
      <c r="E52" s="347"/>
      <c r="F52" s="235"/>
      <c r="G52" s="347"/>
      <c r="H52" s="235"/>
      <c r="I52" s="347"/>
      <c r="J52" s="235"/>
      <c r="K52" s="347"/>
      <c r="L52" s="235"/>
      <c r="M52" s="347"/>
    </row>
    <row r="53" spans="2:13" x14ac:dyDescent="0.2">
      <c r="B53" s="88">
        <f t="shared" si="3"/>
        <v>10</v>
      </c>
      <c r="C53" s="89"/>
      <c r="D53" s="235"/>
      <c r="E53" s="347"/>
      <c r="F53" s="235"/>
      <c r="G53" s="347"/>
      <c r="H53" s="235"/>
      <c r="I53" s="347"/>
      <c r="J53" s="235"/>
      <c r="K53" s="347"/>
      <c r="L53" s="235"/>
      <c r="M53" s="347"/>
    </row>
    <row r="54" spans="2:13" x14ac:dyDescent="0.2">
      <c r="B54" s="88">
        <f t="shared" si="3"/>
        <v>11</v>
      </c>
      <c r="C54" s="89"/>
      <c r="D54" s="235"/>
      <c r="E54" s="347"/>
      <c r="F54" s="235"/>
      <c r="G54" s="347"/>
      <c r="H54" s="235"/>
      <c r="I54" s="347"/>
      <c r="J54" s="235"/>
      <c r="K54" s="347"/>
      <c r="L54" s="235"/>
      <c r="M54" s="347"/>
    </row>
    <row r="55" spans="2:13" x14ac:dyDescent="0.2">
      <c r="B55" s="88">
        <f t="shared" si="3"/>
        <v>12</v>
      </c>
      <c r="C55" s="89"/>
      <c r="D55" s="235"/>
      <c r="E55" s="347"/>
      <c r="F55" s="235"/>
      <c r="G55" s="347"/>
      <c r="H55" s="235"/>
      <c r="I55" s="347"/>
      <c r="J55" s="235"/>
      <c r="K55" s="347"/>
      <c r="L55" s="235"/>
      <c r="M55" s="347"/>
    </row>
    <row r="56" spans="2:13" x14ac:dyDescent="0.2">
      <c r="B56" s="88">
        <f t="shared" si="3"/>
        <v>13</v>
      </c>
      <c r="C56" s="89"/>
      <c r="D56" s="235"/>
      <c r="E56" s="347"/>
      <c r="F56" s="235"/>
      <c r="G56" s="347"/>
      <c r="H56" s="235"/>
      <c r="I56" s="347"/>
      <c r="J56" s="235"/>
      <c r="K56" s="347"/>
      <c r="L56" s="235"/>
      <c r="M56" s="347"/>
    </row>
    <row r="57" spans="2:13" x14ac:dyDescent="0.2">
      <c r="B57" s="88">
        <f t="shared" si="3"/>
        <v>14</v>
      </c>
      <c r="C57" s="89"/>
      <c r="D57" s="235"/>
      <c r="E57" s="347"/>
      <c r="F57" s="235"/>
      <c r="G57" s="347"/>
      <c r="H57" s="235"/>
      <c r="I57" s="347"/>
      <c r="J57" s="235"/>
      <c r="K57" s="347"/>
      <c r="L57" s="235"/>
      <c r="M57" s="347"/>
    </row>
    <row r="58" spans="2:13" x14ac:dyDescent="0.2">
      <c r="B58" s="88">
        <f t="shared" si="3"/>
        <v>15</v>
      </c>
      <c r="C58" s="89"/>
      <c r="D58" s="235"/>
      <c r="E58" s="347"/>
      <c r="F58" s="235"/>
      <c r="G58" s="347"/>
      <c r="H58" s="235"/>
      <c r="I58" s="347"/>
      <c r="J58" s="235"/>
      <c r="K58" s="347"/>
      <c r="L58" s="235"/>
      <c r="M58" s="347"/>
    </row>
    <row r="59" spans="2:13" x14ac:dyDescent="0.2">
      <c r="B59" s="88">
        <f t="shared" si="3"/>
        <v>16</v>
      </c>
      <c r="C59" s="89"/>
      <c r="D59" s="235"/>
      <c r="E59" s="347"/>
      <c r="F59" s="235"/>
      <c r="G59" s="347"/>
      <c r="H59" s="235"/>
      <c r="I59" s="347"/>
      <c r="J59" s="235"/>
      <c r="K59" s="347"/>
      <c r="L59" s="235"/>
      <c r="M59" s="347"/>
    </row>
    <row r="60" spans="2:13" x14ac:dyDescent="0.2">
      <c r="B60" s="88">
        <f t="shared" si="3"/>
        <v>17</v>
      </c>
      <c r="C60" s="89"/>
      <c r="D60" s="235"/>
      <c r="E60" s="347"/>
      <c r="F60" s="235"/>
      <c r="G60" s="347"/>
      <c r="H60" s="235"/>
      <c r="I60" s="347"/>
      <c r="J60" s="235"/>
      <c r="K60" s="347"/>
      <c r="L60" s="235"/>
      <c r="M60" s="347"/>
    </row>
    <row r="61" spans="2:13" x14ac:dyDescent="0.2">
      <c r="B61" s="88">
        <f t="shared" si="3"/>
        <v>18</v>
      </c>
      <c r="C61" s="89"/>
      <c r="D61" s="235"/>
      <c r="E61" s="347"/>
      <c r="F61" s="235"/>
      <c r="G61" s="347"/>
      <c r="H61" s="235"/>
      <c r="I61" s="347"/>
      <c r="J61" s="235"/>
      <c r="K61" s="347"/>
      <c r="L61" s="235"/>
      <c r="M61" s="347"/>
    </row>
    <row r="62" spans="2:13" x14ac:dyDescent="0.2">
      <c r="B62" s="88">
        <f t="shared" si="3"/>
        <v>19</v>
      </c>
      <c r="C62" s="89"/>
      <c r="D62" s="235"/>
      <c r="E62" s="347"/>
      <c r="F62" s="235"/>
      <c r="G62" s="347"/>
      <c r="H62" s="235"/>
      <c r="I62" s="347"/>
      <c r="J62" s="235"/>
      <c r="K62" s="347"/>
      <c r="L62" s="235"/>
      <c r="M62" s="347"/>
    </row>
    <row r="63" spans="2:13" ht="13.5" thickBot="1" x14ac:dyDescent="0.25">
      <c r="B63" s="90" t="s">
        <v>166</v>
      </c>
      <c r="C63" s="91"/>
      <c r="D63" s="236"/>
      <c r="E63" s="347"/>
      <c r="F63" s="236"/>
      <c r="G63" s="347"/>
      <c r="H63" s="236"/>
      <c r="I63" s="347"/>
      <c r="J63" s="236"/>
      <c r="K63" s="347"/>
      <c r="L63" s="236"/>
      <c r="M63" s="347"/>
    </row>
    <row r="64" spans="2:13" ht="13.5" thickBot="1" x14ac:dyDescent="0.25">
      <c r="B64" s="125"/>
      <c r="C64" s="92" t="s">
        <v>167</v>
      </c>
      <c r="D64" s="93">
        <f t="shared" ref="D64:E64" si="4">SUM(D44:D63)</f>
        <v>0</v>
      </c>
      <c r="E64" s="348">
        <f t="shared" si="4"/>
        <v>0</v>
      </c>
      <c r="F64" s="93">
        <f t="shared" ref="F64:M64" si="5">SUM(F44:F63)</f>
        <v>0</v>
      </c>
      <c r="G64" s="348">
        <f t="shared" si="5"/>
        <v>0</v>
      </c>
      <c r="H64" s="93">
        <f t="shared" si="5"/>
        <v>0</v>
      </c>
      <c r="I64" s="348">
        <f t="shared" si="5"/>
        <v>0</v>
      </c>
      <c r="J64" s="93">
        <f t="shared" si="5"/>
        <v>0</v>
      </c>
      <c r="K64" s="348">
        <f t="shared" si="5"/>
        <v>0</v>
      </c>
      <c r="L64" s="93">
        <f t="shared" si="5"/>
        <v>0</v>
      </c>
      <c r="M64" s="348">
        <f t="shared" si="5"/>
        <v>0</v>
      </c>
    </row>
    <row r="67" spans="2:15" ht="13.5" thickBot="1" x14ac:dyDescent="0.25">
      <c r="B67" s="124"/>
      <c r="C67" s="114"/>
      <c r="D67" s="531" t="s">
        <v>259</v>
      </c>
      <c r="E67" s="532"/>
      <c r="F67" s="532"/>
      <c r="G67" s="532"/>
      <c r="H67" s="532"/>
      <c r="I67" s="532"/>
      <c r="J67" s="532"/>
      <c r="K67" s="532"/>
      <c r="L67" s="532"/>
      <c r="M67" s="532"/>
      <c r="N67" s="532"/>
      <c r="O67" s="532"/>
    </row>
    <row r="68" spans="2:15" ht="13.5" thickBot="1" x14ac:dyDescent="0.25">
      <c r="B68" s="112"/>
      <c r="C68" s="48"/>
      <c r="D68" s="529" t="s">
        <v>330</v>
      </c>
      <c r="E68" s="530"/>
      <c r="F68" s="529" t="s">
        <v>331</v>
      </c>
      <c r="G68" s="530"/>
      <c r="H68" s="529" t="s">
        <v>258</v>
      </c>
      <c r="I68" s="530"/>
      <c r="J68" s="529" t="s">
        <v>185</v>
      </c>
      <c r="K68" s="530"/>
      <c r="L68" s="529" t="s">
        <v>260</v>
      </c>
      <c r="M68" s="530"/>
      <c r="N68" s="529" t="s">
        <v>332</v>
      </c>
      <c r="O68" s="530"/>
    </row>
    <row r="69" spans="2:15" ht="13.5" thickBot="1" x14ac:dyDescent="0.25">
      <c r="B69" s="112" t="s">
        <v>162</v>
      </c>
      <c r="C69" s="48" t="s">
        <v>163</v>
      </c>
      <c r="D69" s="110" t="s">
        <v>329</v>
      </c>
      <c r="E69" s="323" t="s">
        <v>164</v>
      </c>
      <c r="F69" s="110" t="s">
        <v>329</v>
      </c>
      <c r="G69" s="323" t="s">
        <v>164</v>
      </c>
      <c r="H69" s="110" t="s">
        <v>329</v>
      </c>
      <c r="I69" s="323" t="s">
        <v>164</v>
      </c>
      <c r="J69" s="110" t="s">
        <v>329</v>
      </c>
      <c r="K69" s="323" t="s">
        <v>164</v>
      </c>
      <c r="L69" s="110" t="s">
        <v>329</v>
      </c>
      <c r="M69" s="323" t="s">
        <v>164</v>
      </c>
      <c r="N69" s="110" t="s">
        <v>329</v>
      </c>
      <c r="O69" s="323" t="s">
        <v>164</v>
      </c>
    </row>
    <row r="70" spans="2:15" x14ac:dyDescent="0.2">
      <c r="B70" s="87">
        <v>1</v>
      </c>
      <c r="C70" s="111"/>
      <c r="D70" s="234"/>
      <c r="E70" s="346"/>
      <c r="F70" s="234"/>
      <c r="G70" s="346"/>
      <c r="H70" s="234"/>
      <c r="I70" s="346"/>
      <c r="J70" s="234"/>
      <c r="K70" s="346"/>
      <c r="L70" s="234"/>
      <c r="M70" s="346"/>
      <c r="N70" s="234"/>
      <c r="O70" s="346"/>
    </row>
    <row r="71" spans="2:15" x14ac:dyDescent="0.2">
      <c r="B71" s="88">
        <f t="shared" ref="B71:B88" si="6">B70+1</f>
        <v>2</v>
      </c>
      <c r="C71" s="89"/>
      <c r="D71" s="235"/>
      <c r="E71" s="347"/>
      <c r="F71" s="235"/>
      <c r="G71" s="347"/>
      <c r="H71" s="235"/>
      <c r="I71" s="347"/>
      <c r="J71" s="235"/>
      <c r="K71" s="347"/>
      <c r="L71" s="235"/>
      <c r="M71" s="347"/>
      <c r="N71" s="235"/>
      <c r="O71" s="347"/>
    </row>
    <row r="72" spans="2:15" x14ac:dyDescent="0.2">
      <c r="B72" s="88">
        <f t="shared" si="6"/>
        <v>3</v>
      </c>
      <c r="C72" s="89"/>
      <c r="D72" s="235"/>
      <c r="E72" s="347"/>
      <c r="F72" s="235"/>
      <c r="G72" s="347"/>
      <c r="H72" s="235"/>
      <c r="I72" s="347"/>
      <c r="J72" s="235"/>
      <c r="K72" s="347"/>
      <c r="L72" s="235"/>
      <c r="M72" s="347"/>
      <c r="N72" s="235"/>
      <c r="O72" s="347"/>
    </row>
    <row r="73" spans="2:15" x14ac:dyDescent="0.2">
      <c r="B73" s="88">
        <f t="shared" si="6"/>
        <v>4</v>
      </c>
      <c r="C73" s="89"/>
      <c r="D73" s="235"/>
      <c r="E73" s="347"/>
      <c r="F73" s="235"/>
      <c r="G73" s="347"/>
      <c r="H73" s="235"/>
      <c r="I73" s="347"/>
      <c r="J73" s="235"/>
      <c r="K73" s="347"/>
      <c r="L73" s="235"/>
      <c r="M73" s="347"/>
      <c r="N73" s="235"/>
      <c r="O73" s="347"/>
    </row>
    <row r="74" spans="2:15" x14ac:dyDescent="0.2">
      <c r="B74" s="88">
        <f t="shared" si="6"/>
        <v>5</v>
      </c>
      <c r="C74" s="89"/>
      <c r="D74" s="235"/>
      <c r="E74" s="347"/>
      <c r="F74" s="235"/>
      <c r="G74" s="347"/>
      <c r="H74" s="235"/>
      <c r="I74" s="347"/>
      <c r="J74" s="235"/>
      <c r="K74" s="347"/>
      <c r="L74" s="235"/>
      <c r="M74" s="347"/>
      <c r="N74" s="235"/>
      <c r="O74" s="347"/>
    </row>
    <row r="75" spans="2:15" x14ac:dyDescent="0.2">
      <c r="B75" s="88">
        <f t="shared" si="6"/>
        <v>6</v>
      </c>
      <c r="C75" s="89"/>
      <c r="D75" s="235"/>
      <c r="E75" s="347"/>
      <c r="F75" s="235"/>
      <c r="G75" s="347"/>
      <c r="H75" s="235"/>
      <c r="I75" s="347"/>
      <c r="J75" s="235"/>
      <c r="K75" s="347"/>
      <c r="L75" s="235"/>
      <c r="M75" s="347"/>
      <c r="N75" s="235"/>
      <c r="O75" s="347"/>
    </row>
    <row r="76" spans="2:15" x14ac:dyDescent="0.2">
      <c r="B76" s="88">
        <f t="shared" si="6"/>
        <v>7</v>
      </c>
      <c r="C76" s="89"/>
      <c r="D76" s="235"/>
      <c r="E76" s="347"/>
      <c r="F76" s="235"/>
      <c r="G76" s="347"/>
      <c r="H76" s="235"/>
      <c r="I76" s="347"/>
      <c r="J76" s="235"/>
      <c r="K76" s="347"/>
      <c r="L76" s="235"/>
      <c r="M76" s="347"/>
      <c r="N76" s="235"/>
      <c r="O76" s="347"/>
    </row>
    <row r="77" spans="2:15" x14ac:dyDescent="0.2">
      <c r="B77" s="88">
        <f t="shared" si="6"/>
        <v>8</v>
      </c>
      <c r="C77" s="89"/>
      <c r="D77" s="235"/>
      <c r="E77" s="347"/>
      <c r="F77" s="235"/>
      <c r="G77" s="347"/>
      <c r="H77" s="235"/>
      <c r="I77" s="347"/>
      <c r="J77" s="235"/>
      <c r="K77" s="347"/>
      <c r="L77" s="235"/>
      <c r="M77" s="347"/>
      <c r="N77" s="235"/>
      <c r="O77" s="347"/>
    </row>
    <row r="78" spans="2:15" x14ac:dyDescent="0.2">
      <c r="B78" s="88">
        <f t="shared" si="6"/>
        <v>9</v>
      </c>
      <c r="C78" s="89"/>
      <c r="D78" s="235"/>
      <c r="E78" s="347"/>
      <c r="F78" s="235"/>
      <c r="G78" s="347"/>
      <c r="H78" s="235"/>
      <c r="I78" s="347"/>
      <c r="J78" s="235"/>
      <c r="K78" s="347"/>
      <c r="L78" s="235"/>
      <c r="M78" s="347"/>
      <c r="N78" s="235"/>
      <c r="O78" s="347"/>
    </row>
    <row r="79" spans="2:15" x14ac:dyDescent="0.2">
      <c r="B79" s="88">
        <f t="shared" si="6"/>
        <v>10</v>
      </c>
      <c r="C79" s="89"/>
      <c r="D79" s="235"/>
      <c r="E79" s="347"/>
      <c r="F79" s="235"/>
      <c r="G79" s="347"/>
      <c r="H79" s="235"/>
      <c r="I79" s="347"/>
      <c r="J79" s="235"/>
      <c r="K79" s="347"/>
      <c r="L79" s="235"/>
      <c r="M79" s="347"/>
      <c r="N79" s="235"/>
      <c r="O79" s="347"/>
    </row>
    <row r="80" spans="2:15" x14ac:dyDescent="0.2">
      <c r="B80" s="88">
        <f t="shared" si="6"/>
        <v>11</v>
      </c>
      <c r="C80" s="89"/>
      <c r="D80" s="235"/>
      <c r="E80" s="347"/>
      <c r="F80" s="235"/>
      <c r="G80" s="347"/>
      <c r="H80" s="235"/>
      <c r="I80" s="347"/>
      <c r="J80" s="235"/>
      <c r="K80" s="347"/>
      <c r="L80" s="235"/>
      <c r="M80" s="347"/>
      <c r="N80" s="235"/>
      <c r="O80" s="347"/>
    </row>
    <row r="81" spans="2:15" x14ac:dyDescent="0.2">
      <c r="B81" s="88">
        <f t="shared" si="6"/>
        <v>12</v>
      </c>
      <c r="C81" s="89"/>
      <c r="D81" s="235"/>
      <c r="E81" s="347"/>
      <c r="F81" s="235"/>
      <c r="G81" s="347"/>
      <c r="H81" s="235"/>
      <c r="I81" s="347"/>
      <c r="J81" s="235"/>
      <c r="K81" s="347"/>
      <c r="L81" s="235"/>
      <c r="M81" s="347"/>
      <c r="N81" s="235"/>
      <c r="O81" s="347"/>
    </row>
    <row r="82" spans="2:15" x14ac:dyDescent="0.2">
      <c r="B82" s="88">
        <f t="shared" si="6"/>
        <v>13</v>
      </c>
      <c r="C82" s="89"/>
      <c r="D82" s="235"/>
      <c r="E82" s="347"/>
      <c r="F82" s="235"/>
      <c r="G82" s="347"/>
      <c r="H82" s="235"/>
      <c r="I82" s="347"/>
      <c r="J82" s="235"/>
      <c r="K82" s="347"/>
      <c r="L82" s="235"/>
      <c r="M82" s="347"/>
      <c r="N82" s="235"/>
      <c r="O82" s="347"/>
    </row>
    <row r="83" spans="2:15" x14ac:dyDescent="0.2">
      <c r="B83" s="88">
        <f t="shared" si="6"/>
        <v>14</v>
      </c>
      <c r="C83" s="89"/>
      <c r="D83" s="235"/>
      <c r="E83" s="347"/>
      <c r="F83" s="235"/>
      <c r="G83" s="347"/>
      <c r="H83" s="235"/>
      <c r="I83" s="347"/>
      <c r="J83" s="235"/>
      <c r="K83" s="347"/>
      <c r="L83" s="235"/>
      <c r="M83" s="347"/>
      <c r="N83" s="235"/>
      <c r="O83" s="347"/>
    </row>
    <row r="84" spans="2:15" x14ac:dyDescent="0.2">
      <c r="B84" s="88">
        <f t="shared" si="6"/>
        <v>15</v>
      </c>
      <c r="C84" s="89"/>
      <c r="D84" s="235"/>
      <c r="E84" s="347"/>
      <c r="F84" s="235"/>
      <c r="G84" s="347"/>
      <c r="H84" s="235"/>
      <c r="I84" s="347"/>
      <c r="J84" s="235"/>
      <c r="K84" s="347"/>
      <c r="L84" s="235"/>
      <c r="M84" s="347"/>
      <c r="N84" s="235"/>
      <c r="O84" s="347"/>
    </row>
    <row r="85" spans="2:15" x14ac:dyDescent="0.2">
      <c r="B85" s="88">
        <f t="shared" si="6"/>
        <v>16</v>
      </c>
      <c r="C85" s="89"/>
      <c r="D85" s="235"/>
      <c r="E85" s="347"/>
      <c r="F85" s="235"/>
      <c r="G85" s="347"/>
      <c r="H85" s="235"/>
      <c r="I85" s="347"/>
      <c r="J85" s="235"/>
      <c r="K85" s="347"/>
      <c r="L85" s="235"/>
      <c r="M85" s="347"/>
      <c r="N85" s="235"/>
      <c r="O85" s="347"/>
    </row>
    <row r="86" spans="2:15" x14ac:dyDescent="0.2">
      <c r="B86" s="88">
        <f t="shared" si="6"/>
        <v>17</v>
      </c>
      <c r="C86" s="89"/>
      <c r="D86" s="235"/>
      <c r="E86" s="347"/>
      <c r="F86" s="235"/>
      <c r="G86" s="347"/>
      <c r="H86" s="235"/>
      <c r="I86" s="347"/>
      <c r="J86" s="235"/>
      <c r="K86" s="347"/>
      <c r="L86" s="235"/>
      <c r="M86" s="347"/>
      <c r="N86" s="235"/>
      <c r="O86" s="347"/>
    </row>
    <row r="87" spans="2:15" x14ac:dyDescent="0.2">
      <c r="B87" s="88">
        <f t="shared" si="6"/>
        <v>18</v>
      </c>
      <c r="C87" s="89"/>
      <c r="D87" s="235"/>
      <c r="E87" s="347"/>
      <c r="F87" s="235"/>
      <c r="G87" s="347"/>
      <c r="H87" s="235"/>
      <c r="I87" s="347"/>
      <c r="J87" s="235"/>
      <c r="K87" s="347"/>
      <c r="L87" s="235"/>
      <c r="M87" s="347"/>
      <c r="N87" s="235"/>
      <c r="O87" s="347"/>
    </row>
    <row r="88" spans="2:15" x14ac:dyDescent="0.2">
      <c r="B88" s="88">
        <f t="shared" si="6"/>
        <v>19</v>
      </c>
      <c r="C88" s="89"/>
      <c r="D88" s="235"/>
      <c r="E88" s="347"/>
      <c r="F88" s="235"/>
      <c r="G88" s="347"/>
      <c r="H88" s="235"/>
      <c r="I88" s="347"/>
      <c r="J88" s="235"/>
      <c r="K88" s="347"/>
      <c r="L88" s="235"/>
      <c r="M88" s="347"/>
      <c r="N88" s="235"/>
      <c r="O88" s="347"/>
    </row>
    <row r="89" spans="2:15" ht="13.5" thickBot="1" x14ac:dyDescent="0.25">
      <c r="B89" s="90" t="s">
        <v>166</v>
      </c>
      <c r="C89" s="91"/>
      <c r="D89" s="236"/>
      <c r="E89" s="347"/>
      <c r="F89" s="236"/>
      <c r="G89" s="347"/>
      <c r="H89" s="236"/>
      <c r="I89" s="347"/>
      <c r="J89" s="236"/>
      <c r="K89" s="347"/>
      <c r="L89" s="236"/>
      <c r="M89" s="347"/>
      <c r="N89" s="236"/>
      <c r="O89" s="347"/>
    </row>
    <row r="90" spans="2:15" ht="13.5" thickBot="1" x14ac:dyDescent="0.25">
      <c r="B90" s="125"/>
      <c r="C90" s="92" t="s">
        <v>167</v>
      </c>
      <c r="D90" s="93">
        <f t="shared" ref="D90:M90" si="7">SUM(D70:D89)</f>
        <v>0</v>
      </c>
      <c r="E90" s="348">
        <f t="shared" si="7"/>
        <v>0</v>
      </c>
      <c r="F90" s="93">
        <f t="shared" si="7"/>
        <v>0</v>
      </c>
      <c r="G90" s="348">
        <f t="shared" si="7"/>
        <v>0</v>
      </c>
      <c r="H90" s="93">
        <f t="shared" si="7"/>
        <v>0</v>
      </c>
      <c r="I90" s="348">
        <f t="shared" si="7"/>
        <v>0</v>
      </c>
      <c r="J90" s="93">
        <f t="shared" si="7"/>
        <v>0</v>
      </c>
      <c r="K90" s="348">
        <f t="shared" si="7"/>
        <v>0</v>
      </c>
      <c r="L90" s="93">
        <f t="shared" si="7"/>
        <v>0</v>
      </c>
      <c r="M90" s="348">
        <f t="shared" si="7"/>
        <v>0</v>
      </c>
      <c r="N90" s="93">
        <f t="shared" ref="N90:O90" si="8">SUM(N70:N89)</f>
        <v>0</v>
      </c>
      <c r="O90" s="348">
        <f t="shared" si="8"/>
        <v>0</v>
      </c>
    </row>
    <row r="93" spans="2:15" ht="13.5" thickBot="1" x14ac:dyDescent="0.25">
      <c r="B93" s="124"/>
      <c r="C93" s="114"/>
      <c r="D93" s="531" t="s">
        <v>333</v>
      </c>
      <c r="E93" s="532"/>
      <c r="F93" s="532"/>
      <c r="G93" s="532"/>
      <c r="H93" s="532"/>
      <c r="I93" s="532"/>
      <c r="J93" s="532"/>
      <c r="K93" s="532"/>
      <c r="L93" s="532"/>
      <c r="M93" s="532"/>
      <c r="N93" s="532"/>
      <c r="O93" s="532"/>
    </row>
    <row r="94" spans="2:15" ht="13.5" thickBot="1" x14ac:dyDescent="0.25">
      <c r="B94" s="112"/>
      <c r="C94" s="48"/>
      <c r="D94" s="529" t="s">
        <v>330</v>
      </c>
      <c r="E94" s="530"/>
      <c r="F94" s="529" t="s">
        <v>331</v>
      </c>
      <c r="G94" s="530"/>
      <c r="H94" s="529" t="s">
        <v>258</v>
      </c>
      <c r="I94" s="530"/>
      <c r="J94" s="529" t="s">
        <v>185</v>
      </c>
      <c r="K94" s="530"/>
      <c r="L94" s="529" t="s">
        <v>260</v>
      </c>
      <c r="M94" s="530"/>
      <c r="N94" s="529" t="s">
        <v>332</v>
      </c>
      <c r="O94" s="530"/>
    </row>
    <row r="95" spans="2:15" ht="13.5" thickBot="1" x14ac:dyDescent="0.25">
      <c r="B95" s="112" t="s">
        <v>162</v>
      </c>
      <c r="C95" s="48" t="s">
        <v>163</v>
      </c>
      <c r="D95" s="110" t="s">
        <v>329</v>
      </c>
      <c r="E95" s="323" t="s">
        <v>164</v>
      </c>
      <c r="F95" s="110" t="s">
        <v>329</v>
      </c>
      <c r="G95" s="323" t="s">
        <v>164</v>
      </c>
      <c r="H95" s="110" t="s">
        <v>329</v>
      </c>
      <c r="I95" s="323" t="s">
        <v>164</v>
      </c>
      <c r="J95" s="110" t="s">
        <v>329</v>
      </c>
      <c r="K95" s="323" t="s">
        <v>164</v>
      </c>
      <c r="L95" s="110" t="s">
        <v>329</v>
      </c>
      <c r="M95" s="323" t="s">
        <v>164</v>
      </c>
      <c r="N95" s="110" t="s">
        <v>329</v>
      </c>
      <c r="O95" s="323" t="s">
        <v>164</v>
      </c>
    </row>
    <row r="96" spans="2:15" x14ac:dyDescent="0.2">
      <c r="B96" s="87">
        <v>1</v>
      </c>
      <c r="C96" s="111"/>
      <c r="D96" s="234"/>
      <c r="E96" s="346"/>
      <c r="F96" s="234"/>
      <c r="G96" s="346"/>
      <c r="H96" s="234"/>
      <c r="I96" s="346"/>
      <c r="J96" s="234"/>
      <c r="K96" s="346"/>
      <c r="L96" s="234"/>
      <c r="M96" s="346"/>
      <c r="N96" s="234"/>
      <c r="O96" s="346"/>
    </row>
    <row r="97" spans="2:15" x14ac:dyDescent="0.2">
      <c r="B97" s="88">
        <f t="shared" ref="B97:B114" si="9">B96+1</f>
        <v>2</v>
      </c>
      <c r="C97" s="89"/>
      <c r="D97" s="235"/>
      <c r="E97" s="347"/>
      <c r="F97" s="235"/>
      <c r="G97" s="347"/>
      <c r="H97" s="235"/>
      <c r="I97" s="347"/>
      <c r="J97" s="235"/>
      <c r="K97" s="347"/>
      <c r="L97" s="235"/>
      <c r="M97" s="347"/>
      <c r="N97" s="235"/>
      <c r="O97" s="347"/>
    </row>
    <row r="98" spans="2:15" x14ac:dyDescent="0.2">
      <c r="B98" s="88">
        <f t="shared" si="9"/>
        <v>3</v>
      </c>
      <c r="C98" s="89"/>
      <c r="D98" s="235"/>
      <c r="E98" s="347"/>
      <c r="F98" s="235"/>
      <c r="G98" s="347"/>
      <c r="H98" s="235"/>
      <c r="I98" s="347"/>
      <c r="J98" s="235"/>
      <c r="K98" s="347"/>
      <c r="L98" s="235"/>
      <c r="M98" s="347"/>
      <c r="N98" s="235"/>
      <c r="O98" s="347"/>
    </row>
    <row r="99" spans="2:15" x14ac:dyDescent="0.2">
      <c r="B99" s="88">
        <f t="shared" si="9"/>
        <v>4</v>
      </c>
      <c r="C99" s="89"/>
      <c r="D99" s="235"/>
      <c r="E99" s="347"/>
      <c r="F99" s="235"/>
      <c r="G99" s="347"/>
      <c r="H99" s="235"/>
      <c r="I99" s="347"/>
      <c r="J99" s="235"/>
      <c r="K99" s="347"/>
      <c r="L99" s="235"/>
      <c r="M99" s="347"/>
      <c r="N99" s="235"/>
      <c r="O99" s="347"/>
    </row>
    <row r="100" spans="2:15" x14ac:dyDescent="0.2">
      <c r="B100" s="88">
        <f t="shared" si="9"/>
        <v>5</v>
      </c>
      <c r="C100" s="89"/>
      <c r="D100" s="235"/>
      <c r="E100" s="347"/>
      <c r="F100" s="235"/>
      <c r="G100" s="347"/>
      <c r="H100" s="235"/>
      <c r="I100" s="347"/>
      <c r="J100" s="235"/>
      <c r="K100" s="347"/>
      <c r="L100" s="235"/>
      <c r="M100" s="347"/>
      <c r="N100" s="235"/>
      <c r="O100" s="347"/>
    </row>
    <row r="101" spans="2:15" x14ac:dyDescent="0.2">
      <c r="B101" s="88">
        <f t="shared" si="9"/>
        <v>6</v>
      </c>
      <c r="C101" s="89"/>
      <c r="D101" s="235"/>
      <c r="E101" s="347"/>
      <c r="F101" s="235"/>
      <c r="G101" s="347"/>
      <c r="H101" s="235"/>
      <c r="I101" s="347"/>
      <c r="J101" s="235"/>
      <c r="K101" s="347"/>
      <c r="L101" s="235"/>
      <c r="M101" s="347"/>
      <c r="N101" s="235"/>
      <c r="O101" s="347"/>
    </row>
    <row r="102" spans="2:15" x14ac:dyDescent="0.2">
      <c r="B102" s="88">
        <f t="shared" si="9"/>
        <v>7</v>
      </c>
      <c r="C102" s="89"/>
      <c r="D102" s="235"/>
      <c r="E102" s="347"/>
      <c r="F102" s="235"/>
      <c r="G102" s="347"/>
      <c r="H102" s="235"/>
      <c r="I102" s="347"/>
      <c r="J102" s="235"/>
      <c r="K102" s="347"/>
      <c r="L102" s="235"/>
      <c r="M102" s="347"/>
      <c r="N102" s="235"/>
      <c r="O102" s="347"/>
    </row>
    <row r="103" spans="2:15" x14ac:dyDescent="0.2">
      <c r="B103" s="88">
        <f t="shared" si="9"/>
        <v>8</v>
      </c>
      <c r="C103" s="89"/>
      <c r="D103" s="235"/>
      <c r="E103" s="347"/>
      <c r="F103" s="235"/>
      <c r="G103" s="347"/>
      <c r="H103" s="235"/>
      <c r="I103" s="347"/>
      <c r="J103" s="235"/>
      <c r="K103" s="347"/>
      <c r="L103" s="235"/>
      <c r="M103" s="347"/>
      <c r="N103" s="235"/>
      <c r="O103" s="347"/>
    </row>
    <row r="104" spans="2:15" x14ac:dyDescent="0.2">
      <c r="B104" s="88">
        <f t="shared" si="9"/>
        <v>9</v>
      </c>
      <c r="C104" s="89"/>
      <c r="D104" s="235"/>
      <c r="E104" s="347"/>
      <c r="F104" s="235"/>
      <c r="G104" s="347"/>
      <c r="H104" s="235"/>
      <c r="I104" s="347"/>
      <c r="J104" s="235"/>
      <c r="K104" s="347"/>
      <c r="L104" s="235"/>
      <c r="M104" s="347"/>
      <c r="N104" s="235"/>
      <c r="O104" s="347"/>
    </row>
    <row r="105" spans="2:15" x14ac:dyDescent="0.2">
      <c r="B105" s="88">
        <f t="shared" si="9"/>
        <v>10</v>
      </c>
      <c r="C105" s="89"/>
      <c r="D105" s="235"/>
      <c r="E105" s="347"/>
      <c r="F105" s="235"/>
      <c r="G105" s="347"/>
      <c r="H105" s="235"/>
      <c r="I105" s="347"/>
      <c r="J105" s="235"/>
      <c r="K105" s="347"/>
      <c r="L105" s="235"/>
      <c r="M105" s="347"/>
      <c r="N105" s="235"/>
      <c r="O105" s="347"/>
    </row>
    <row r="106" spans="2:15" x14ac:dyDescent="0.2">
      <c r="B106" s="88">
        <f t="shared" si="9"/>
        <v>11</v>
      </c>
      <c r="C106" s="89"/>
      <c r="D106" s="235"/>
      <c r="E106" s="347"/>
      <c r="F106" s="235"/>
      <c r="G106" s="347"/>
      <c r="H106" s="235"/>
      <c r="I106" s="347"/>
      <c r="J106" s="235"/>
      <c r="K106" s="347"/>
      <c r="L106" s="235"/>
      <c r="M106" s="347"/>
      <c r="N106" s="235"/>
      <c r="O106" s="347"/>
    </row>
    <row r="107" spans="2:15" x14ac:dyDescent="0.2">
      <c r="B107" s="88">
        <f t="shared" si="9"/>
        <v>12</v>
      </c>
      <c r="C107" s="89"/>
      <c r="D107" s="235"/>
      <c r="E107" s="347"/>
      <c r="F107" s="235"/>
      <c r="G107" s="347"/>
      <c r="H107" s="235"/>
      <c r="I107" s="347"/>
      <c r="J107" s="235"/>
      <c r="K107" s="347"/>
      <c r="L107" s="235"/>
      <c r="M107" s="347"/>
      <c r="N107" s="235"/>
      <c r="O107" s="347"/>
    </row>
    <row r="108" spans="2:15" x14ac:dyDescent="0.2">
      <c r="B108" s="88">
        <f t="shared" si="9"/>
        <v>13</v>
      </c>
      <c r="C108" s="89"/>
      <c r="D108" s="235"/>
      <c r="E108" s="347"/>
      <c r="F108" s="235"/>
      <c r="G108" s="347"/>
      <c r="H108" s="235"/>
      <c r="I108" s="347"/>
      <c r="J108" s="235"/>
      <c r="K108" s="347"/>
      <c r="L108" s="235"/>
      <c r="M108" s="347"/>
      <c r="N108" s="235"/>
      <c r="O108" s="347"/>
    </row>
    <row r="109" spans="2:15" x14ac:dyDescent="0.2">
      <c r="B109" s="88">
        <f t="shared" si="9"/>
        <v>14</v>
      </c>
      <c r="C109" s="89"/>
      <c r="D109" s="235"/>
      <c r="E109" s="347"/>
      <c r="F109" s="235"/>
      <c r="G109" s="347"/>
      <c r="H109" s="235"/>
      <c r="I109" s="347"/>
      <c r="J109" s="235"/>
      <c r="K109" s="347"/>
      <c r="L109" s="235"/>
      <c r="M109" s="347"/>
      <c r="N109" s="235"/>
      <c r="O109" s="347"/>
    </row>
    <row r="110" spans="2:15" x14ac:dyDescent="0.2">
      <c r="B110" s="88">
        <f t="shared" si="9"/>
        <v>15</v>
      </c>
      <c r="C110" s="89"/>
      <c r="D110" s="235"/>
      <c r="E110" s="347"/>
      <c r="F110" s="235"/>
      <c r="G110" s="347"/>
      <c r="H110" s="235"/>
      <c r="I110" s="347"/>
      <c r="J110" s="235"/>
      <c r="K110" s="347"/>
      <c r="L110" s="235"/>
      <c r="M110" s="347"/>
      <c r="N110" s="235"/>
      <c r="O110" s="347"/>
    </row>
    <row r="111" spans="2:15" x14ac:dyDescent="0.2">
      <c r="B111" s="88">
        <f t="shared" si="9"/>
        <v>16</v>
      </c>
      <c r="C111" s="89"/>
      <c r="D111" s="235"/>
      <c r="E111" s="347"/>
      <c r="F111" s="235"/>
      <c r="G111" s="347"/>
      <c r="H111" s="235"/>
      <c r="I111" s="347"/>
      <c r="J111" s="235"/>
      <c r="K111" s="347"/>
      <c r="L111" s="235"/>
      <c r="M111" s="347"/>
      <c r="N111" s="235"/>
      <c r="O111" s="347"/>
    </row>
    <row r="112" spans="2:15" x14ac:dyDescent="0.2">
      <c r="B112" s="88">
        <f t="shared" si="9"/>
        <v>17</v>
      </c>
      <c r="C112" s="89"/>
      <c r="D112" s="235"/>
      <c r="E112" s="347"/>
      <c r="F112" s="235"/>
      <c r="G112" s="347"/>
      <c r="H112" s="235"/>
      <c r="I112" s="347"/>
      <c r="J112" s="235"/>
      <c r="K112" s="347"/>
      <c r="L112" s="235"/>
      <c r="M112" s="347"/>
      <c r="N112" s="235"/>
      <c r="O112" s="347"/>
    </row>
    <row r="113" spans="2:15" x14ac:dyDescent="0.2">
      <c r="B113" s="88">
        <f t="shared" si="9"/>
        <v>18</v>
      </c>
      <c r="C113" s="89"/>
      <c r="D113" s="235"/>
      <c r="E113" s="347"/>
      <c r="F113" s="235"/>
      <c r="G113" s="347"/>
      <c r="H113" s="235"/>
      <c r="I113" s="347"/>
      <c r="J113" s="235"/>
      <c r="K113" s="347"/>
      <c r="L113" s="235"/>
      <c r="M113" s="347"/>
      <c r="N113" s="235"/>
      <c r="O113" s="347"/>
    </row>
    <row r="114" spans="2:15" x14ac:dyDescent="0.2">
      <c r="B114" s="88">
        <f t="shared" si="9"/>
        <v>19</v>
      </c>
      <c r="C114" s="89"/>
      <c r="D114" s="235"/>
      <c r="E114" s="347"/>
      <c r="F114" s="235"/>
      <c r="G114" s="347"/>
      <c r="H114" s="235"/>
      <c r="I114" s="347"/>
      <c r="J114" s="235"/>
      <c r="K114" s="347"/>
      <c r="L114" s="235"/>
      <c r="M114" s="347"/>
      <c r="N114" s="235"/>
      <c r="O114" s="347"/>
    </row>
    <row r="115" spans="2:15" ht="13.5" thickBot="1" x14ac:dyDescent="0.25">
      <c r="B115" s="90" t="s">
        <v>166</v>
      </c>
      <c r="C115" s="91"/>
      <c r="D115" s="236"/>
      <c r="E115" s="347"/>
      <c r="F115" s="236"/>
      <c r="G115" s="347"/>
      <c r="H115" s="236"/>
      <c r="I115" s="347"/>
      <c r="J115" s="236"/>
      <c r="K115" s="347"/>
      <c r="L115" s="236"/>
      <c r="M115" s="347"/>
      <c r="N115" s="236"/>
      <c r="O115" s="347"/>
    </row>
    <row r="116" spans="2:15" ht="13.5" thickBot="1" x14ac:dyDescent="0.25">
      <c r="B116" s="125"/>
      <c r="C116" s="92" t="s">
        <v>167</v>
      </c>
      <c r="D116" s="93">
        <f t="shared" ref="D116:O116" si="10">SUM(D96:D115)</f>
        <v>0</v>
      </c>
      <c r="E116" s="348">
        <f t="shared" si="10"/>
        <v>0</v>
      </c>
      <c r="F116" s="93">
        <f t="shared" si="10"/>
        <v>0</v>
      </c>
      <c r="G116" s="348">
        <f t="shared" si="10"/>
        <v>0</v>
      </c>
      <c r="H116" s="93">
        <f t="shared" si="10"/>
        <v>0</v>
      </c>
      <c r="I116" s="348">
        <f t="shared" si="10"/>
        <v>0</v>
      </c>
      <c r="J116" s="93">
        <f t="shared" si="10"/>
        <v>0</v>
      </c>
      <c r="K116" s="348">
        <f t="shared" si="10"/>
        <v>0</v>
      </c>
      <c r="L116" s="93">
        <f t="shared" si="10"/>
        <v>0</v>
      </c>
      <c r="M116" s="348">
        <f t="shared" si="10"/>
        <v>0</v>
      </c>
      <c r="N116" s="93">
        <f t="shared" si="10"/>
        <v>0</v>
      </c>
      <c r="O116" s="348">
        <f t="shared" si="10"/>
        <v>0</v>
      </c>
    </row>
    <row r="119" spans="2:15" ht="13.5" thickBot="1" x14ac:dyDescent="0.25"/>
    <row r="120" spans="2:15" ht="13.5" thickBot="1" x14ac:dyDescent="0.25">
      <c r="B120" s="112"/>
      <c r="C120" s="48"/>
      <c r="D120" s="529" t="s">
        <v>186</v>
      </c>
      <c r="E120" s="530"/>
    </row>
    <row r="121" spans="2:15" ht="13.5" thickBot="1" x14ac:dyDescent="0.25">
      <c r="B121" s="112" t="s">
        <v>162</v>
      </c>
      <c r="C121" s="48" t="s">
        <v>163</v>
      </c>
      <c r="D121" s="110" t="s">
        <v>329</v>
      </c>
      <c r="E121" s="323" t="s">
        <v>164</v>
      </c>
    </row>
    <row r="122" spans="2:15" x14ac:dyDescent="0.2">
      <c r="B122" s="87">
        <v>1</v>
      </c>
      <c r="C122" s="111"/>
      <c r="D122" s="234"/>
      <c r="E122" s="346"/>
    </row>
    <row r="123" spans="2:15" x14ac:dyDescent="0.2">
      <c r="B123" s="88">
        <f t="shared" ref="B123:B140" si="11">B122+1</f>
        <v>2</v>
      </c>
      <c r="C123" s="89"/>
      <c r="D123" s="235"/>
      <c r="E123" s="347"/>
    </row>
    <row r="124" spans="2:15" x14ac:dyDescent="0.2">
      <c r="B124" s="88">
        <f t="shared" si="11"/>
        <v>3</v>
      </c>
      <c r="C124" s="89"/>
      <c r="D124" s="235"/>
      <c r="E124" s="347"/>
    </row>
    <row r="125" spans="2:15" x14ac:dyDescent="0.2">
      <c r="B125" s="88">
        <f t="shared" si="11"/>
        <v>4</v>
      </c>
      <c r="C125" s="89"/>
      <c r="D125" s="235"/>
      <c r="E125" s="347"/>
    </row>
    <row r="126" spans="2:15" x14ac:dyDescent="0.2">
      <c r="B126" s="88">
        <f t="shared" si="11"/>
        <v>5</v>
      </c>
      <c r="C126" s="89"/>
      <c r="D126" s="235"/>
      <c r="E126" s="347"/>
    </row>
    <row r="127" spans="2:15" x14ac:dyDescent="0.2">
      <c r="B127" s="88">
        <f t="shared" si="11"/>
        <v>6</v>
      </c>
      <c r="C127" s="89"/>
      <c r="D127" s="235"/>
      <c r="E127" s="347"/>
    </row>
    <row r="128" spans="2:15" x14ac:dyDescent="0.2">
      <c r="B128" s="88">
        <f t="shared" si="11"/>
        <v>7</v>
      </c>
      <c r="C128" s="89"/>
      <c r="D128" s="235"/>
      <c r="E128" s="347"/>
    </row>
    <row r="129" spans="2:5" x14ac:dyDescent="0.2">
      <c r="B129" s="88">
        <f t="shared" si="11"/>
        <v>8</v>
      </c>
      <c r="C129" s="89"/>
      <c r="D129" s="235"/>
      <c r="E129" s="347"/>
    </row>
    <row r="130" spans="2:5" x14ac:dyDescent="0.2">
      <c r="B130" s="88">
        <f t="shared" si="11"/>
        <v>9</v>
      </c>
      <c r="C130" s="89"/>
      <c r="D130" s="235"/>
      <c r="E130" s="347"/>
    </row>
    <row r="131" spans="2:5" x14ac:dyDescent="0.2">
      <c r="B131" s="88">
        <f t="shared" si="11"/>
        <v>10</v>
      </c>
      <c r="C131" s="89"/>
      <c r="D131" s="235"/>
      <c r="E131" s="347"/>
    </row>
    <row r="132" spans="2:5" x14ac:dyDescent="0.2">
      <c r="B132" s="88">
        <f t="shared" si="11"/>
        <v>11</v>
      </c>
      <c r="C132" s="89"/>
      <c r="D132" s="235"/>
      <c r="E132" s="347"/>
    </row>
    <row r="133" spans="2:5" x14ac:dyDescent="0.2">
      <c r="B133" s="88">
        <f t="shared" si="11"/>
        <v>12</v>
      </c>
      <c r="C133" s="89"/>
      <c r="D133" s="235"/>
      <c r="E133" s="347"/>
    </row>
    <row r="134" spans="2:5" x14ac:dyDescent="0.2">
      <c r="B134" s="88">
        <f t="shared" si="11"/>
        <v>13</v>
      </c>
      <c r="C134" s="89"/>
      <c r="D134" s="235"/>
      <c r="E134" s="347"/>
    </row>
    <row r="135" spans="2:5" x14ac:dyDescent="0.2">
      <c r="B135" s="88">
        <f t="shared" si="11"/>
        <v>14</v>
      </c>
      <c r="C135" s="89"/>
      <c r="D135" s="235"/>
      <c r="E135" s="347"/>
    </row>
    <row r="136" spans="2:5" x14ac:dyDescent="0.2">
      <c r="B136" s="88">
        <f t="shared" si="11"/>
        <v>15</v>
      </c>
      <c r="C136" s="89"/>
      <c r="D136" s="235"/>
      <c r="E136" s="347"/>
    </row>
    <row r="137" spans="2:5" x14ac:dyDescent="0.2">
      <c r="B137" s="88">
        <f t="shared" si="11"/>
        <v>16</v>
      </c>
      <c r="C137" s="89"/>
      <c r="D137" s="235"/>
      <c r="E137" s="347"/>
    </row>
    <row r="138" spans="2:5" x14ac:dyDescent="0.2">
      <c r="B138" s="88">
        <f t="shared" si="11"/>
        <v>17</v>
      </c>
      <c r="C138" s="89"/>
      <c r="D138" s="235"/>
      <c r="E138" s="347"/>
    </row>
    <row r="139" spans="2:5" x14ac:dyDescent="0.2">
      <c r="B139" s="88">
        <f t="shared" si="11"/>
        <v>18</v>
      </c>
      <c r="C139" s="89"/>
      <c r="D139" s="235"/>
      <c r="E139" s="347"/>
    </row>
    <row r="140" spans="2:5" x14ac:dyDescent="0.2">
      <c r="B140" s="88">
        <f t="shared" si="11"/>
        <v>19</v>
      </c>
      <c r="C140" s="89"/>
      <c r="D140" s="235"/>
      <c r="E140" s="347"/>
    </row>
    <row r="141" spans="2:5" ht="13.5" thickBot="1" x14ac:dyDescent="0.25">
      <c r="B141" s="90" t="s">
        <v>166</v>
      </c>
      <c r="C141" s="91"/>
      <c r="D141" s="236"/>
      <c r="E141" s="347"/>
    </row>
    <row r="142" spans="2:5" ht="13.5" thickBot="1" x14ac:dyDescent="0.25">
      <c r="B142" s="125"/>
      <c r="C142" s="92" t="s">
        <v>167</v>
      </c>
      <c r="D142" s="93">
        <f t="shared" ref="D142:E142" si="12">SUM(D122:D141)</f>
        <v>0</v>
      </c>
      <c r="E142" s="348">
        <f t="shared" si="12"/>
        <v>0</v>
      </c>
    </row>
  </sheetData>
  <mergeCells count="23">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 ref="L94:M94"/>
    <mergeCell ref="N94:O94"/>
    <mergeCell ref="D68:E68"/>
    <mergeCell ref="F68:G68"/>
    <mergeCell ref="H68:I68"/>
    <mergeCell ref="J68:K68"/>
    <mergeCell ref="L68:M68"/>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opLeftCell="C2" workbookViewId="0">
      <selection activeCell="B13" sqref="B13:O22"/>
    </sheetView>
  </sheetViews>
  <sheetFormatPr defaultColWidth="11.42578125" defaultRowHeight="12.75" x14ac:dyDescent="0.2"/>
  <cols>
    <col min="1" max="1" width="2.85546875" style="115" customWidth="1"/>
    <col min="2" max="2" width="12.85546875" style="115" customWidth="1"/>
    <col min="3" max="3" width="41.85546875" style="115" bestFit="1" customWidth="1"/>
    <col min="4" max="4" width="21.5703125" style="115" bestFit="1" customWidth="1"/>
    <col min="5" max="5" width="19.85546875" style="115" customWidth="1"/>
    <col min="6" max="6" width="22.140625" style="115" bestFit="1" customWidth="1"/>
    <col min="7" max="7" width="16.42578125" style="115" bestFit="1" customWidth="1"/>
    <col min="8" max="8" width="21.5703125" style="115" bestFit="1" customWidth="1"/>
    <col min="9" max="10" width="14.42578125" style="115" customWidth="1"/>
    <col min="11" max="11" width="18" style="115" bestFit="1" customWidth="1"/>
    <col min="12" max="12" width="17" style="115" bestFit="1" customWidth="1"/>
    <col min="13" max="13" width="18" style="115" bestFit="1" customWidth="1"/>
    <col min="14" max="14" width="14.42578125" style="354" customWidth="1"/>
    <col min="15"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37" t="s">
        <v>168</v>
      </c>
      <c r="C2" s="438"/>
      <c r="D2" s="438"/>
      <c r="E2" s="438"/>
      <c r="F2" s="438"/>
      <c r="G2" s="438"/>
      <c r="H2" s="438"/>
      <c r="I2" s="438"/>
      <c r="J2" s="438"/>
      <c r="K2" s="438"/>
      <c r="L2" s="438"/>
      <c r="M2" s="438"/>
      <c r="N2" s="438"/>
      <c r="O2" s="439"/>
    </row>
    <row r="3" spans="1:16" ht="14.45" customHeight="1" x14ac:dyDescent="0.4">
      <c r="C3" s="117"/>
      <c r="D3" s="117"/>
      <c r="E3" s="117"/>
      <c r="F3" s="117"/>
      <c r="G3" s="117"/>
    </row>
    <row r="4" spans="1:16" s="114" customFormat="1" ht="14.45" customHeight="1" x14ac:dyDescent="0.2">
      <c r="I4" s="116"/>
      <c r="L4" s="113"/>
      <c r="M4" s="113"/>
      <c r="N4" s="355"/>
      <c r="O4" s="113"/>
      <c r="P4" s="113"/>
    </row>
    <row r="5" spans="1:16" s="114" customFormat="1" ht="14.45" customHeight="1" x14ac:dyDescent="0.2">
      <c r="C5" s="118" t="s">
        <v>103</v>
      </c>
      <c r="D5" s="451" t="str">
        <f>Header!$D$4</f>
        <v>ZARAI REINSURANCE CORPORATION</v>
      </c>
      <c r="E5" s="533"/>
      <c r="F5" s="119"/>
      <c r="M5" s="113"/>
      <c r="N5" s="356"/>
    </row>
    <row r="6" spans="1:16" s="114" customFormat="1" ht="14.45" customHeight="1" x14ac:dyDescent="0.2">
      <c r="C6" s="118" t="s">
        <v>3</v>
      </c>
      <c r="D6" s="451" t="str">
        <f>Header!$D$5</f>
        <v>Kenya</v>
      </c>
      <c r="E6" s="533"/>
      <c r="F6" s="119" t="s">
        <v>104</v>
      </c>
      <c r="N6" s="356"/>
    </row>
    <row r="7" spans="1:16" s="114" customFormat="1" ht="14.45" customHeight="1" x14ac:dyDescent="0.2">
      <c r="C7" s="118" t="s">
        <v>4</v>
      </c>
      <c r="D7" s="451" t="str">
        <f>Header!$D$6</f>
        <v>KES</v>
      </c>
      <c r="E7" s="533"/>
      <c r="F7" s="119"/>
      <c r="N7" s="356"/>
    </row>
    <row r="8" spans="1:16" s="114" customFormat="1" ht="14.45" customHeight="1" x14ac:dyDescent="0.2">
      <c r="C8" s="118" t="s">
        <v>105</v>
      </c>
      <c r="D8" s="451">
        <f>YEAR(Header!$D$11)</f>
        <v>2026</v>
      </c>
      <c r="E8" s="533"/>
      <c r="F8" s="119"/>
      <c r="N8" s="356"/>
    </row>
    <row r="9" spans="1:16" s="114" customFormat="1" ht="14.45" customHeight="1" x14ac:dyDescent="0.2">
      <c r="C9" s="118" t="s">
        <v>11</v>
      </c>
      <c r="D9" s="451" t="str">
        <f>Header!$D$15</f>
        <v>Property</v>
      </c>
      <c r="E9" s="533"/>
      <c r="F9" s="119"/>
      <c r="N9" s="356"/>
    </row>
    <row r="10" spans="1:16" s="114" customFormat="1" ht="14.45" customHeight="1" x14ac:dyDescent="0.2">
      <c r="C10" s="118" t="s">
        <v>106</v>
      </c>
      <c r="D10" s="431" t="s">
        <v>184</v>
      </c>
      <c r="E10" s="432"/>
      <c r="F10" s="119"/>
      <c r="N10" s="356"/>
    </row>
    <row r="11" spans="1:16" s="114" customFormat="1" ht="14.45" customHeight="1" thickBot="1" x14ac:dyDescent="0.25">
      <c r="N11" s="356"/>
    </row>
    <row r="12" spans="1:16" s="114" customFormat="1" ht="26.25" thickBot="1" x14ac:dyDescent="0.25">
      <c r="A12" s="115"/>
      <c r="B12" s="128" t="s">
        <v>169</v>
      </c>
      <c r="C12" s="48" t="s">
        <v>125</v>
      </c>
      <c r="D12" s="23" t="s">
        <v>170</v>
      </c>
      <c r="E12" s="23" t="s">
        <v>327</v>
      </c>
      <c r="F12" s="49" t="s">
        <v>171</v>
      </c>
      <c r="G12" s="49" t="s">
        <v>172</v>
      </c>
      <c r="H12" s="49" t="s">
        <v>173</v>
      </c>
      <c r="I12" s="49" t="s">
        <v>174</v>
      </c>
      <c r="J12" s="49" t="s">
        <v>175</v>
      </c>
      <c r="K12" s="49" t="s">
        <v>176</v>
      </c>
      <c r="L12" s="49" t="s">
        <v>177</v>
      </c>
      <c r="M12" s="49" t="s">
        <v>178</v>
      </c>
      <c r="N12" s="422" t="s">
        <v>179</v>
      </c>
      <c r="O12" s="50" t="s">
        <v>180</v>
      </c>
    </row>
    <row r="13" spans="1:16" s="114" customFormat="1" ht="14.45" customHeight="1" thickBot="1" x14ac:dyDescent="0.25">
      <c r="A13" s="115"/>
      <c r="B13" s="129">
        <v>1</v>
      </c>
      <c r="C13" s="368" t="s">
        <v>386</v>
      </c>
      <c r="D13" s="94" t="s">
        <v>353</v>
      </c>
      <c r="E13" s="94" t="s">
        <v>396</v>
      </c>
      <c r="F13" s="549">
        <v>25800000000</v>
      </c>
      <c r="G13" s="550">
        <f>F13*10%</f>
        <v>2580000000</v>
      </c>
      <c r="H13" s="551">
        <f>F13*90%</f>
        <v>23220000000</v>
      </c>
      <c r="I13" s="552">
        <v>0</v>
      </c>
      <c r="J13" s="552">
        <f>F13-G13-H13</f>
        <v>0</v>
      </c>
      <c r="K13" s="551">
        <f>F13*0.25%</f>
        <v>64500000</v>
      </c>
      <c r="L13" s="551">
        <f>K13*10%</f>
        <v>6450000</v>
      </c>
      <c r="M13" s="551">
        <f>K13*90%</f>
        <v>58050000</v>
      </c>
      <c r="N13" s="553">
        <v>0</v>
      </c>
      <c r="O13" s="553">
        <v>0</v>
      </c>
    </row>
    <row r="14" spans="1:16" s="114" customFormat="1" ht="14.45" customHeight="1" thickBot="1" x14ac:dyDescent="0.25">
      <c r="A14" s="115"/>
      <c r="B14" s="129">
        <v>2</v>
      </c>
      <c r="C14" s="369" t="s">
        <v>387</v>
      </c>
      <c r="D14" s="95" t="s">
        <v>353</v>
      </c>
      <c r="E14" s="95" t="s">
        <v>397</v>
      </c>
      <c r="F14" s="554">
        <v>12753991414</v>
      </c>
      <c r="G14" s="550">
        <f t="shared" ref="G14:G22" si="0">F14*10%</f>
        <v>1275399141.4000001</v>
      </c>
      <c r="H14" s="551">
        <f t="shared" ref="H14:H22" si="1">F14*90%</f>
        <v>11478592272.6</v>
      </c>
      <c r="I14" s="552">
        <v>0</v>
      </c>
      <c r="J14" s="552">
        <f t="shared" ref="J14:J22" si="2">F14-G14-H14</f>
        <v>0</v>
      </c>
      <c r="K14" s="551">
        <f t="shared" ref="K14:K22" si="3">F14*0.25%</f>
        <v>31884978.535</v>
      </c>
      <c r="L14" s="551">
        <f t="shared" ref="L14:L22" si="4">K14*10%</f>
        <v>3188497.8535000002</v>
      </c>
      <c r="M14" s="551">
        <f t="shared" ref="M14:M22" si="5">K14*90%</f>
        <v>28696480.681499999</v>
      </c>
      <c r="N14" s="553">
        <v>0</v>
      </c>
      <c r="O14" s="553">
        <v>0</v>
      </c>
    </row>
    <row r="15" spans="1:16" s="114" customFormat="1" ht="14.45" customHeight="1" thickBot="1" x14ac:dyDescent="0.25">
      <c r="A15" s="115"/>
      <c r="B15" s="129">
        <v>3</v>
      </c>
      <c r="C15" s="369" t="s">
        <v>388</v>
      </c>
      <c r="D15" s="95" t="s">
        <v>353</v>
      </c>
      <c r="E15" s="95" t="s">
        <v>398</v>
      </c>
      <c r="F15" s="554">
        <v>8599827411</v>
      </c>
      <c r="G15" s="550">
        <f t="shared" si="0"/>
        <v>859982741.10000002</v>
      </c>
      <c r="H15" s="551">
        <f t="shared" si="1"/>
        <v>7739844669.9000006</v>
      </c>
      <c r="I15" s="552">
        <v>0</v>
      </c>
      <c r="J15" s="552">
        <f t="shared" si="2"/>
        <v>0</v>
      </c>
      <c r="K15" s="551">
        <f t="shared" si="3"/>
        <v>21499568.5275</v>
      </c>
      <c r="L15" s="551">
        <f t="shared" si="4"/>
        <v>2149956.8527500001</v>
      </c>
      <c r="M15" s="551">
        <f t="shared" si="5"/>
        <v>19349611.67475</v>
      </c>
      <c r="N15" s="553">
        <v>0</v>
      </c>
      <c r="O15" s="553">
        <v>0</v>
      </c>
    </row>
    <row r="16" spans="1:16" s="114" customFormat="1" ht="14.45" customHeight="1" thickBot="1" x14ac:dyDescent="0.25">
      <c r="A16" s="115"/>
      <c r="B16" s="129">
        <v>4</v>
      </c>
      <c r="C16" s="369" t="s">
        <v>389</v>
      </c>
      <c r="D16" s="95" t="s">
        <v>354</v>
      </c>
      <c r="E16" s="95" t="s">
        <v>397</v>
      </c>
      <c r="F16" s="554">
        <v>13721500000</v>
      </c>
      <c r="G16" s="550">
        <f t="shared" si="0"/>
        <v>1372150000</v>
      </c>
      <c r="H16" s="551">
        <f t="shared" si="1"/>
        <v>12349350000</v>
      </c>
      <c r="I16" s="552">
        <v>0</v>
      </c>
      <c r="J16" s="552">
        <f t="shared" si="2"/>
        <v>0</v>
      </c>
      <c r="K16" s="551">
        <f t="shared" si="3"/>
        <v>34303750</v>
      </c>
      <c r="L16" s="551">
        <f t="shared" si="4"/>
        <v>3430375</v>
      </c>
      <c r="M16" s="551">
        <f t="shared" si="5"/>
        <v>30873375</v>
      </c>
      <c r="N16" s="553">
        <v>0</v>
      </c>
      <c r="O16" s="553">
        <v>0</v>
      </c>
    </row>
    <row r="17" spans="1:15" s="114" customFormat="1" ht="14.45" customHeight="1" thickBot="1" x14ac:dyDescent="0.25">
      <c r="A17" s="115"/>
      <c r="B17" s="129">
        <v>5</v>
      </c>
      <c r="C17" s="369" t="s">
        <v>390</v>
      </c>
      <c r="D17" s="95" t="s">
        <v>353</v>
      </c>
      <c r="E17" s="95" t="s">
        <v>397</v>
      </c>
      <c r="F17" s="554">
        <v>10515085132</v>
      </c>
      <c r="G17" s="550">
        <f t="shared" si="0"/>
        <v>1051508513.2</v>
      </c>
      <c r="H17" s="551">
        <f t="shared" si="1"/>
        <v>9463576618.8000011</v>
      </c>
      <c r="I17" s="552">
        <v>0</v>
      </c>
      <c r="J17" s="552">
        <f t="shared" si="2"/>
        <v>0</v>
      </c>
      <c r="K17" s="551">
        <f t="shared" si="3"/>
        <v>26287712.830000002</v>
      </c>
      <c r="L17" s="551">
        <f t="shared" si="4"/>
        <v>2628771.2830000003</v>
      </c>
      <c r="M17" s="551">
        <f t="shared" si="5"/>
        <v>23658941.547000002</v>
      </c>
      <c r="N17" s="553">
        <v>0</v>
      </c>
      <c r="O17" s="553">
        <v>0</v>
      </c>
    </row>
    <row r="18" spans="1:15" s="114" customFormat="1" ht="14.45" customHeight="1" thickBot="1" x14ac:dyDescent="0.25">
      <c r="A18" s="115"/>
      <c r="B18" s="129">
        <v>6</v>
      </c>
      <c r="C18" s="369" t="s">
        <v>391</v>
      </c>
      <c r="D18" s="95" t="s">
        <v>353</v>
      </c>
      <c r="E18" s="95" t="s">
        <v>401</v>
      </c>
      <c r="F18" s="554">
        <v>4963032680</v>
      </c>
      <c r="G18" s="550">
        <f t="shared" si="0"/>
        <v>496303268</v>
      </c>
      <c r="H18" s="551">
        <f t="shared" si="1"/>
        <v>4466729412</v>
      </c>
      <c r="I18" s="552">
        <v>0</v>
      </c>
      <c r="J18" s="552">
        <f t="shared" si="2"/>
        <v>0</v>
      </c>
      <c r="K18" s="551">
        <f t="shared" si="3"/>
        <v>12407581.700000001</v>
      </c>
      <c r="L18" s="551">
        <f t="shared" si="4"/>
        <v>1240758.1700000002</v>
      </c>
      <c r="M18" s="551">
        <f t="shared" si="5"/>
        <v>11166823.530000001</v>
      </c>
      <c r="N18" s="553">
        <v>0</v>
      </c>
      <c r="O18" s="553">
        <v>0</v>
      </c>
    </row>
    <row r="19" spans="1:15" s="114" customFormat="1" ht="14.45" customHeight="1" thickBot="1" x14ac:dyDescent="0.25">
      <c r="A19" s="115"/>
      <c r="B19" s="129">
        <v>7</v>
      </c>
      <c r="C19" s="369" t="s">
        <v>392</v>
      </c>
      <c r="D19" s="95" t="s">
        <v>355</v>
      </c>
      <c r="E19" s="95" t="s">
        <v>399</v>
      </c>
      <c r="F19" s="554">
        <v>8206558917</v>
      </c>
      <c r="G19" s="550">
        <f t="shared" si="0"/>
        <v>820655891.70000005</v>
      </c>
      <c r="H19" s="551">
        <f t="shared" si="1"/>
        <v>7385903025.3000002</v>
      </c>
      <c r="I19" s="552">
        <v>0</v>
      </c>
      <c r="J19" s="552">
        <f t="shared" si="2"/>
        <v>0</v>
      </c>
      <c r="K19" s="551">
        <f t="shared" si="3"/>
        <v>20516397.2925</v>
      </c>
      <c r="L19" s="551">
        <f t="shared" si="4"/>
        <v>2051639.7292500001</v>
      </c>
      <c r="M19" s="551">
        <f t="shared" si="5"/>
        <v>18464757.563250002</v>
      </c>
      <c r="N19" s="553">
        <v>0</v>
      </c>
      <c r="O19" s="553">
        <v>0</v>
      </c>
    </row>
    <row r="20" spans="1:15" s="114" customFormat="1" ht="14.45" customHeight="1" thickBot="1" x14ac:dyDescent="0.25">
      <c r="A20" s="115"/>
      <c r="B20" s="129">
        <v>8</v>
      </c>
      <c r="C20" s="369" t="s">
        <v>393</v>
      </c>
      <c r="D20" s="95" t="s">
        <v>356</v>
      </c>
      <c r="E20" s="95" t="s">
        <v>400</v>
      </c>
      <c r="F20" s="554">
        <v>5569778520</v>
      </c>
      <c r="G20" s="550">
        <f t="shared" si="0"/>
        <v>556977852</v>
      </c>
      <c r="H20" s="551">
        <f t="shared" si="1"/>
        <v>5012800668</v>
      </c>
      <c r="I20" s="552">
        <v>0</v>
      </c>
      <c r="J20" s="552">
        <f t="shared" si="2"/>
        <v>0</v>
      </c>
      <c r="K20" s="551">
        <f t="shared" si="3"/>
        <v>13924446.300000001</v>
      </c>
      <c r="L20" s="551">
        <f t="shared" si="4"/>
        <v>1392444.6300000001</v>
      </c>
      <c r="M20" s="551">
        <f t="shared" si="5"/>
        <v>12532001.670000002</v>
      </c>
      <c r="N20" s="553">
        <v>0</v>
      </c>
      <c r="O20" s="553">
        <v>0</v>
      </c>
    </row>
    <row r="21" spans="1:15" s="114" customFormat="1" ht="14.45" customHeight="1" thickBot="1" x14ac:dyDescent="0.25">
      <c r="A21" s="115"/>
      <c r="B21" s="129">
        <v>9</v>
      </c>
      <c r="C21" s="369" t="s">
        <v>394</v>
      </c>
      <c r="D21" s="95" t="s">
        <v>355</v>
      </c>
      <c r="E21" s="95" t="s">
        <v>399</v>
      </c>
      <c r="F21" s="554">
        <v>5634556286</v>
      </c>
      <c r="G21" s="550">
        <f t="shared" si="0"/>
        <v>563455628.60000002</v>
      </c>
      <c r="H21" s="551">
        <f t="shared" si="1"/>
        <v>5071100657.4000006</v>
      </c>
      <c r="I21" s="552">
        <v>0</v>
      </c>
      <c r="J21" s="552">
        <f t="shared" si="2"/>
        <v>0</v>
      </c>
      <c r="K21" s="551">
        <f t="shared" si="3"/>
        <v>14086390.715</v>
      </c>
      <c r="L21" s="551">
        <f t="shared" si="4"/>
        <v>1408639.0715000001</v>
      </c>
      <c r="M21" s="551">
        <f t="shared" si="5"/>
        <v>12677751.6435</v>
      </c>
      <c r="N21" s="553">
        <v>0</v>
      </c>
      <c r="O21" s="553">
        <v>0</v>
      </c>
    </row>
    <row r="22" spans="1:15" s="114" customFormat="1" ht="14.45" customHeight="1" x14ac:dyDescent="0.2">
      <c r="A22" s="115"/>
      <c r="B22" s="129">
        <v>10</v>
      </c>
      <c r="C22" s="369" t="s">
        <v>395</v>
      </c>
      <c r="D22" s="95" t="s">
        <v>353</v>
      </c>
      <c r="E22" s="95" t="s">
        <v>398</v>
      </c>
      <c r="F22" s="554">
        <v>6376995707</v>
      </c>
      <c r="G22" s="550">
        <f t="shared" si="0"/>
        <v>637699570.70000005</v>
      </c>
      <c r="H22" s="551">
        <f t="shared" si="1"/>
        <v>5739296136.3000002</v>
      </c>
      <c r="I22" s="552">
        <v>0</v>
      </c>
      <c r="J22" s="552">
        <f t="shared" si="2"/>
        <v>0</v>
      </c>
      <c r="K22" s="551">
        <f t="shared" ref="K22" si="6">F22*0.25%</f>
        <v>15942489.2675</v>
      </c>
      <c r="L22" s="551">
        <f t="shared" ref="L22" si="7">K22*10%</f>
        <v>1594248.9267500001</v>
      </c>
      <c r="M22" s="551">
        <f t="shared" ref="M22" si="8">K22*90%</f>
        <v>14348240.34075</v>
      </c>
      <c r="N22" s="553">
        <v>0</v>
      </c>
      <c r="O22" s="553">
        <v>0</v>
      </c>
    </row>
    <row r="23" spans="1:15" s="114" customFormat="1" ht="14.45" customHeight="1" x14ac:dyDescent="0.2">
      <c r="A23" s="115"/>
      <c r="B23" s="129">
        <v>11</v>
      </c>
      <c r="C23" s="237"/>
      <c r="D23" s="95"/>
      <c r="E23" s="95"/>
      <c r="F23" s="95"/>
      <c r="G23" s="193"/>
      <c r="H23" s="193"/>
      <c r="I23" s="237"/>
      <c r="J23" s="237"/>
      <c r="K23" s="193"/>
      <c r="L23" s="193"/>
      <c r="M23" s="193"/>
      <c r="N23" s="423"/>
      <c r="O23" s="194"/>
    </row>
    <row r="24" spans="1:15" s="114" customFormat="1" ht="14.45" customHeight="1" x14ac:dyDescent="0.2">
      <c r="A24" s="115"/>
      <c r="B24" s="129">
        <v>12</v>
      </c>
      <c r="C24" s="237"/>
      <c r="D24" s="95"/>
      <c r="E24" s="95"/>
      <c r="F24" s="95"/>
      <c r="G24" s="193"/>
      <c r="H24" s="193"/>
      <c r="I24" s="237"/>
      <c r="J24" s="237"/>
      <c r="K24" s="193"/>
      <c r="L24" s="193"/>
      <c r="M24" s="193"/>
      <c r="N24" s="423"/>
      <c r="O24" s="194"/>
    </row>
    <row r="25" spans="1:15" s="114" customFormat="1" ht="14.45" customHeight="1" x14ac:dyDescent="0.2">
      <c r="A25" s="115"/>
      <c r="B25" s="129">
        <v>13</v>
      </c>
      <c r="C25" s="237"/>
      <c r="D25" s="95"/>
      <c r="E25" s="95"/>
      <c r="F25" s="95"/>
      <c r="G25" s="193"/>
      <c r="H25" s="193"/>
      <c r="I25" s="237"/>
      <c r="J25" s="237"/>
      <c r="K25" s="193"/>
      <c r="L25" s="193"/>
      <c r="M25" s="193"/>
      <c r="N25" s="423"/>
      <c r="O25" s="194"/>
    </row>
    <row r="26" spans="1:15" s="114" customFormat="1" ht="14.45" customHeight="1" x14ac:dyDescent="0.2">
      <c r="A26" s="115"/>
      <c r="B26" s="129">
        <v>14</v>
      </c>
      <c r="C26" s="237"/>
      <c r="D26" s="95"/>
      <c r="E26" s="95"/>
      <c r="F26" s="95"/>
      <c r="G26" s="193"/>
      <c r="H26" s="193"/>
      <c r="I26" s="237"/>
      <c r="J26" s="237"/>
      <c r="K26" s="193"/>
      <c r="L26" s="193"/>
      <c r="M26" s="193"/>
      <c r="N26" s="423"/>
      <c r="O26" s="194"/>
    </row>
    <row r="27" spans="1:15" s="114" customFormat="1" ht="14.45" customHeight="1" x14ac:dyDescent="0.2">
      <c r="A27" s="115"/>
      <c r="B27" s="129">
        <v>15</v>
      </c>
      <c r="C27" s="237"/>
      <c r="D27" s="95"/>
      <c r="E27" s="95"/>
      <c r="F27" s="95"/>
      <c r="G27" s="193"/>
      <c r="H27" s="193"/>
      <c r="I27" s="237"/>
      <c r="J27" s="237"/>
      <c r="K27" s="193"/>
      <c r="L27" s="193"/>
      <c r="M27" s="193"/>
      <c r="N27" s="423"/>
      <c r="O27" s="194"/>
    </row>
    <row r="28" spans="1:15" s="114" customFormat="1" ht="14.45" customHeight="1" x14ac:dyDescent="0.2">
      <c r="A28" s="115"/>
      <c r="B28" s="129">
        <v>16</v>
      </c>
      <c r="C28" s="237"/>
      <c r="D28" s="95"/>
      <c r="E28" s="95"/>
      <c r="F28" s="95"/>
      <c r="G28" s="193"/>
      <c r="H28" s="193"/>
      <c r="I28" s="237"/>
      <c r="J28" s="237"/>
      <c r="K28" s="193"/>
      <c r="L28" s="193"/>
      <c r="M28" s="193"/>
      <c r="N28" s="423"/>
      <c r="O28" s="194"/>
    </row>
    <row r="29" spans="1:15" s="114" customFormat="1" ht="14.45" customHeight="1" x14ac:dyDescent="0.2">
      <c r="A29" s="115"/>
      <c r="B29" s="129">
        <v>17</v>
      </c>
      <c r="C29" s="237"/>
      <c r="D29" s="95"/>
      <c r="E29" s="95"/>
      <c r="F29" s="95"/>
      <c r="G29" s="193"/>
      <c r="H29" s="193"/>
      <c r="I29" s="237"/>
      <c r="J29" s="237"/>
      <c r="K29" s="193"/>
      <c r="L29" s="193"/>
      <c r="M29" s="193"/>
      <c r="N29" s="423"/>
      <c r="O29" s="194"/>
    </row>
    <row r="30" spans="1:15" s="114" customFormat="1" ht="14.45" customHeight="1" x14ac:dyDescent="0.2">
      <c r="A30" s="115"/>
      <c r="B30" s="129">
        <v>18</v>
      </c>
      <c r="C30" s="237"/>
      <c r="D30" s="95"/>
      <c r="E30" s="95"/>
      <c r="F30" s="95"/>
      <c r="G30" s="193"/>
      <c r="H30" s="193"/>
      <c r="I30" s="237"/>
      <c r="J30" s="237"/>
      <c r="K30" s="193"/>
      <c r="L30" s="193"/>
      <c r="M30" s="193"/>
      <c r="N30" s="423"/>
      <c r="O30" s="194"/>
    </row>
    <row r="31" spans="1:15" s="114" customFormat="1" ht="14.45" customHeight="1" x14ac:dyDescent="0.2">
      <c r="A31" s="115"/>
      <c r="B31" s="129">
        <v>19</v>
      </c>
      <c r="C31" s="237"/>
      <c r="D31" s="95"/>
      <c r="E31" s="95"/>
      <c r="F31" s="95"/>
      <c r="G31" s="193"/>
      <c r="H31" s="193"/>
      <c r="I31" s="237"/>
      <c r="J31" s="237"/>
      <c r="K31" s="193"/>
      <c r="L31" s="193"/>
      <c r="M31" s="193"/>
      <c r="N31" s="423"/>
      <c r="O31" s="194"/>
    </row>
    <row r="32" spans="1:15" s="114" customFormat="1" ht="14.45" customHeight="1" thickBot="1" x14ac:dyDescent="0.25">
      <c r="A32" s="115"/>
      <c r="B32" s="130">
        <v>20</v>
      </c>
      <c r="C32" s="238"/>
      <c r="D32" s="96"/>
      <c r="E32" s="96"/>
      <c r="F32" s="96"/>
      <c r="G32" s="195"/>
      <c r="H32" s="195"/>
      <c r="I32" s="238"/>
      <c r="J32" s="238"/>
      <c r="K32" s="195"/>
      <c r="L32" s="195"/>
      <c r="M32" s="195"/>
      <c r="N32" s="424"/>
      <c r="O32" s="196"/>
    </row>
    <row r="33" spans="1:15" s="114" customFormat="1" ht="14.45" customHeight="1" x14ac:dyDescent="0.2">
      <c r="A33" s="115"/>
      <c r="B33" s="115"/>
      <c r="C33" s="115"/>
      <c r="D33" s="115"/>
      <c r="E33" s="115"/>
      <c r="F33" s="115"/>
      <c r="G33" s="115"/>
      <c r="H33" s="115"/>
      <c r="I33" s="115"/>
      <c r="J33" s="115"/>
      <c r="K33" s="115"/>
      <c r="L33" s="115"/>
      <c r="M33" s="115"/>
      <c r="N33" s="356"/>
    </row>
    <row r="34" spans="1:15" s="114" customFormat="1" ht="14.45" customHeight="1" x14ac:dyDescent="0.2">
      <c r="A34" s="115"/>
      <c r="B34" s="115"/>
      <c r="C34" s="115"/>
      <c r="D34" s="115"/>
      <c r="E34" s="115"/>
      <c r="F34" s="115"/>
      <c r="G34" s="115"/>
      <c r="H34" s="115"/>
      <c r="I34" s="115"/>
      <c r="J34" s="115"/>
      <c r="K34" s="115"/>
      <c r="L34" s="115"/>
      <c r="M34" s="115"/>
      <c r="N34" s="356"/>
    </row>
    <row r="35" spans="1:15" s="114" customFormat="1" ht="14.45" customHeight="1" x14ac:dyDescent="0.2">
      <c r="A35" s="115"/>
      <c r="B35" s="182" t="s">
        <v>14</v>
      </c>
      <c r="F35" s="115"/>
      <c r="G35" s="115"/>
      <c r="H35" s="115"/>
      <c r="I35" s="115"/>
      <c r="J35" s="115"/>
      <c r="K35" s="115"/>
      <c r="L35" s="115"/>
      <c r="M35" s="115"/>
      <c r="N35" s="356"/>
    </row>
    <row r="36" spans="1:15" s="114" customFormat="1" ht="14.45" customHeight="1" x14ac:dyDescent="0.2">
      <c r="A36" s="115"/>
      <c r="B36" s="466"/>
      <c r="C36" s="466"/>
      <c r="D36" s="466"/>
      <c r="E36" s="466"/>
      <c r="F36" s="115"/>
      <c r="G36" s="115"/>
      <c r="H36" s="115"/>
      <c r="I36" s="115"/>
      <c r="J36" s="115"/>
      <c r="K36" s="115"/>
      <c r="L36" s="115"/>
      <c r="M36" s="115"/>
      <c r="N36" s="356"/>
    </row>
    <row r="37" spans="1:15" s="114" customFormat="1" x14ac:dyDescent="0.2">
      <c r="A37" s="115"/>
      <c r="B37" s="466"/>
      <c r="C37" s="466"/>
      <c r="D37" s="466"/>
      <c r="E37" s="466"/>
      <c r="F37" s="115"/>
      <c r="G37" s="115"/>
      <c r="H37" s="115"/>
      <c r="I37" s="115"/>
      <c r="J37" s="115"/>
      <c r="K37" s="115"/>
      <c r="L37" s="115"/>
      <c r="M37" s="115"/>
      <c r="N37" s="354"/>
      <c r="O37" s="115"/>
    </row>
    <row r="38" spans="1:15" s="114" customFormat="1" ht="14.45" customHeight="1" x14ac:dyDescent="0.2">
      <c r="A38" s="115"/>
      <c r="B38" s="466"/>
      <c r="C38" s="466"/>
      <c r="D38" s="466"/>
      <c r="E38" s="466"/>
      <c r="F38" s="115"/>
      <c r="G38" s="115"/>
      <c r="H38" s="115"/>
      <c r="I38" s="115"/>
      <c r="J38" s="115"/>
      <c r="K38" s="115"/>
      <c r="L38" s="115"/>
      <c r="M38" s="115"/>
      <c r="N38" s="354"/>
      <c r="O38" s="115"/>
    </row>
    <row r="39" spans="1:15" s="114" customFormat="1" ht="14.45" customHeight="1" x14ac:dyDescent="0.2">
      <c r="A39" s="115"/>
      <c r="B39" s="115"/>
      <c r="C39" s="115"/>
      <c r="D39" s="115"/>
      <c r="E39" s="115"/>
      <c r="F39" s="115"/>
      <c r="G39" s="115"/>
      <c r="H39" s="115"/>
      <c r="I39" s="115"/>
      <c r="J39" s="115"/>
      <c r="K39" s="115"/>
      <c r="L39" s="115"/>
      <c r="M39" s="115"/>
      <c r="N39" s="354"/>
      <c r="O39" s="115"/>
    </row>
    <row r="40" spans="1:15" s="114" customFormat="1" ht="14.45" customHeight="1" x14ac:dyDescent="0.2">
      <c r="A40" s="115"/>
      <c r="B40" s="115"/>
      <c r="C40" s="115"/>
      <c r="D40" s="115"/>
      <c r="E40" s="115"/>
      <c r="F40" s="115"/>
      <c r="G40" s="115"/>
      <c r="H40" s="115"/>
      <c r="I40" s="115"/>
      <c r="J40" s="115"/>
      <c r="K40" s="115"/>
      <c r="L40" s="115"/>
      <c r="M40" s="115"/>
      <c r="N40" s="354"/>
      <c r="O40" s="115"/>
    </row>
    <row r="41" spans="1:15" ht="13.35" customHeight="1" x14ac:dyDescent="0.2"/>
    <row r="42" spans="1:15" ht="13.3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topLeftCell="C9" workbookViewId="0">
      <selection activeCell="C10" sqref="C10"/>
    </sheetView>
  </sheetViews>
  <sheetFormatPr defaultColWidth="11.42578125" defaultRowHeight="12.75" x14ac:dyDescent="0.2"/>
  <cols>
    <col min="1" max="1" width="2.85546875" style="115" customWidth="1"/>
    <col min="2" max="2" width="5.42578125" style="115" customWidth="1"/>
    <col min="3" max="3" width="125.42578125" style="115" customWidth="1"/>
    <col min="4" max="4" width="100.140625" style="115" customWidth="1"/>
    <col min="5" max="5" width="12.5703125" style="115" bestFit="1" customWidth="1"/>
    <col min="6"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37" t="s">
        <v>261</v>
      </c>
      <c r="C2" s="438"/>
      <c r="D2" s="439"/>
      <c r="E2" s="114"/>
      <c r="F2" s="114"/>
      <c r="G2" s="114"/>
      <c r="H2" s="114"/>
      <c r="I2" s="114"/>
      <c r="J2" s="114"/>
      <c r="K2" s="114"/>
      <c r="L2" s="114"/>
      <c r="M2" s="114"/>
      <c r="N2" s="114"/>
      <c r="O2" s="114"/>
      <c r="P2" s="114"/>
    </row>
    <row r="3" spans="1:16" ht="14.45" customHeight="1" x14ac:dyDescent="0.4">
      <c r="C3" s="117"/>
      <c r="D3" s="117"/>
      <c r="E3" s="114"/>
      <c r="F3" s="114"/>
      <c r="G3" s="114"/>
      <c r="H3" s="114"/>
      <c r="I3" s="114"/>
      <c r="J3" s="114"/>
      <c r="K3" s="114"/>
      <c r="L3" s="114"/>
      <c r="M3" s="114"/>
      <c r="N3" s="114"/>
      <c r="O3" s="114"/>
      <c r="P3" s="114"/>
    </row>
    <row r="4" spans="1:16" s="114" customFormat="1" ht="14.45" customHeight="1" thickBot="1" x14ac:dyDescent="0.25"/>
    <row r="5" spans="1:16" s="114" customFormat="1" ht="13.5" thickBot="1" x14ac:dyDescent="0.25">
      <c r="A5" s="115"/>
      <c r="B5" s="128"/>
      <c r="C5" s="48"/>
      <c r="D5" s="23" t="s">
        <v>294</v>
      </c>
    </row>
    <row r="6" spans="1:16" s="114" customFormat="1" ht="14.45" customHeight="1" x14ac:dyDescent="0.2">
      <c r="A6" s="115"/>
      <c r="B6" s="129">
        <v>1</v>
      </c>
      <c r="C6" s="303" t="s">
        <v>349</v>
      </c>
      <c r="D6" s="94"/>
    </row>
    <row r="7" spans="1:16" s="114" customFormat="1" ht="14.45" customHeight="1" x14ac:dyDescent="0.2">
      <c r="A7" s="115"/>
      <c r="B7" s="129"/>
      <c r="C7" s="304" t="s">
        <v>288</v>
      </c>
      <c r="D7" t="s">
        <v>402</v>
      </c>
    </row>
    <row r="8" spans="1:16" s="114" customFormat="1" ht="14.45" customHeight="1" x14ac:dyDescent="0.2">
      <c r="A8" s="115"/>
      <c r="B8" s="129"/>
      <c r="C8" s="304" t="s">
        <v>289</v>
      </c>
      <c r="D8" s="307" t="s">
        <v>403</v>
      </c>
    </row>
    <row r="9" spans="1:16" s="114" customFormat="1" ht="14.45" customHeight="1" x14ac:dyDescent="0.2">
      <c r="A9" s="115"/>
      <c r="B9" s="129"/>
      <c r="C9" s="304" t="s">
        <v>290</v>
      </c>
      <c r="D9" s="307" t="s">
        <v>404</v>
      </c>
    </row>
    <row r="10" spans="1:16" s="114" customFormat="1" ht="14.45" customHeight="1" x14ac:dyDescent="0.2">
      <c r="A10" s="115"/>
      <c r="B10" s="129"/>
      <c r="C10" s="304" t="s">
        <v>291</v>
      </c>
      <c r="D10" s="307" t="s">
        <v>405</v>
      </c>
    </row>
    <row r="11" spans="1:16" s="114" customFormat="1" ht="14.45" customHeight="1" x14ac:dyDescent="0.2">
      <c r="A11" s="115"/>
      <c r="B11" s="129"/>
      <c r="C11" s="304" t="s">
        <v>292</v>
      </c>
      <c r="D11" s="307" t="s">
        <v>407</v>
      </c>
    </row>
    <row r="12" spans="1:16" s="114" customFormat="1" ht="14.45" customHeight="1" x14ac:dyDescent="0.2">
      <c r="A12" s="115"/>
      <c r="B12" s="129"/>
      <c r="C12" s="304" t="s">
        <v>293</v>
      </c>
      <c r="D12" s="307" t="s">
        <v>406</v>
      </c>
    </row>
    <row r="13" spans="1:16" s="114" customFormat="1" ht="14.45" customHeight="1" x14ac:dyDescent="0.2">
      <c r="A13" s="115"/>
      <c r="B13" s="129">
        <v>2</v>
      </c>
      <c r="C13" s="303" t="s">
        <v>262</v>
      </c>
      <c r="D13" s="95"/>
    </row>
    <row r="14" spans="1:16" s="114" customFormat="1" ht="14.45" customHeight="1" x14ac:dyDescent="0.2">
      <c r="A14" s="115"/>
      <c r="B14" s="129">
        <v>3</v>
      </c>
      <c r="C14" s="303" t="s">
        <v>263</v>
      </c>
      <c r="D14" s="95"/>
    </row>
    <row r="15" spans="1:16" s="114" customFormat="1" ht="14.45" customHeight="1" x14ac:dyDescent="0.2">
      <c r="A15" s="115"/>
      <c r="B15" s="129"/>
      <c r="C15" s="304" t="s">
        <v>264</v>
      </c>
      <c r="D15" s="95"/>
    </row>
    <row r="16" spans="1:16" s="114" customFormat="1" ht="14.45" customHeight="1" x14ac:dyDescent="0.2">
      <c r="A16" s="115"/>
      <c r="B16" s="129"/>
      <c r="C16" s="304" t="s">
        <v>265</v>
      </c>
      <c r="D16" s="95"/>
    </row>
    <row r="17" spans="1:14" s="114" customFormat="1" ht="14.45" customHeight="1" x14ac:dyDescent="0.2">
      <c r="A17" s="115"/>
      <c r="B17" s="129"/>
      <c r="C17" s="304" t="s">
        <v>266</v>
      </c>
      <c r="D17" s="95"/>
    </row>
    <row r="18" spans="1:14" s="114" customFormat="1" ht="31.5" customHeight="1" thickBot="1" x14ac:dyDescent="0.25">
      <c r="A18" s="115"/>
      <c r="B18" s="129"/>
      <c r="C18" s="305" t="s">
        <v>267</v>
      </c>
      <c r="D18" s="95"/>
      <c r="N18" s="306"/>
    </row>
    <row r="19" spans="1:14" s="114" customFormat="1" ht="14.45" customHeight="1" x14ac:dyDescent="0.2">
      <c r="A19" s="115"/>
      <c r="B19" s="129"/>
      <c r="C19" s="304" t="s">
        <v>268</v>
      </c>
      <c r="D19" s="95"/>
    </row>
    <row r="20" spans="1:14" s="114" customFormat="1" ht="14.45" customHeight="1" x14ac:dyDescent="0.2">
      <c r="A20" s="115"/>
      <c r="B20" s="129"/>
      <c r="C20" s="304" t="s">
        <v>269</v>
      </c>
      <c r="D20" s="95"/>
    </row>
    <row r="21" spans="1:14" s="114" customFormat="1" ht="14.45" customHeight="1" x14ac:dyDescent="0.2">
      <c r="A21" s="115"/>
      <c r="B21" s="129"/>
      <c r="C21" s="304" t="s">
        <v>270</v>
      </c>
      <c r="D21" s="95"/>
    </row>
    <row r="22" spans="1:14" s="114" customFormat="1" ht="14.45" customHeight="1" x14ac:dyDescent="0.2">
      <c r="A22" s="115"/>
      <c r="B22" s="129">
        <v>4</v>
      </c>
      <c r="C22" s="303" t="s">
        <v>271</v>
      </c>
      <c r="D22" s="95"/>
    </row>
    <row r="23" spans="1:14" s="114" customFormat="1" ht="14.45" customHeight="1" x14ac:dyDescent="0.2">
      <c r="A23" s="115"/>
      <c r="B23" s="129"/>
      <c r="C23" s="304" t="s">
        <v>282</v>
      </c>
      <c r="D23" s="95"/>
    </row>
    <row r="24" spans="1:14" s="114" customFormat="1" ht="14.45" customHeight="1" x14ac:dyDescent="0.2">
      <c r="A24" s="115"/>
      <c r="B24" s="129"/>
      <c r="C24" s="304" t="s">
        <v>283</v>
      </c>
      <c r="D24" s="95"/>
    </row>
    <row r="25" spans="1:14" s="114" customFormat="1" ht="14.45" customHeight="1" x14ac:dyDescent="0.2">
      <c r="A25" s="115"/>
      <c r="B25" s="129"/>
      <c r="C25" s="304" t="s">
        <v>284</v>
      </c>
      <c r="D25" s="95"/>
    </row>
    <row r="26" spans="1:14" s="114" customFormat="1" ht="14.45" customHeight="1" x14ac:dyDescent="0.2">
      <c r="A26" s="115"/>
      <c r="B26" s="129"/>
      <c r="C26" s="304" t="s">
        <v>285</v>
      </c>
      <c r="D26" s="95"/>
    </row>
    <row r="27" spans="1:14" s="114" customFormat="1" ht="14.45" customHeight="1" x14ac:dyDescent="0.2">
      <c r="A27" s="115"/>
      <c r="B27" s="129"/>
      <c r="C27" s="304" t="s">
        <v>286</v>
      </c>
      <c r="D27" s="95"/>
    </row>
    <row r="28" spans="1:14" s="114" customFormat="1" ht="28.5" customHeight="1" x14ac:dyDescent="0.2">
      <c r="A28" s="115"/>
      <c r="B28" s="129"/>
      <c r="C28" s="305" t="s">
        <v>287</v>
      </c>
      <c r="D28" s="95"/>
    </row>
    <row r="29" spans="1:14" s="114" customFormat="1" ht="14.45" customHeight="1" x14ac:dyDescent="0.2">
      <c r="A29" s="115"/>
      <c r="B29" s="129">
        <v>5</v>
      </c>
      <c r="C29" s="303" t="s">
        <v>272</v>
      </c>
      <c r="D29" s="95"/>
    </row>
    <row r="30" spans="1:14" s="114" customFormat="1" ht="14.45" customHeight="1" x14ac:dyDescent="0.2">
      <c r="A30" s="115"/>
      <c r="B30" s="129">
        <v>6</v>
      </c>
      <c r="C30" s="303" t="s">
        <v>273</v>
      </c>
      <c r="D30" s="95"/>
    </row>
    <row r="31" spans="1:14" s="114" customFormat="1" ht="14.45" customHeight="1" x14ac:dyDescent="0.2">
      <c r="A31" s="115"/>
      <c r="B31" s="129">
        <v>7</v>
      </c>
      <c r="C31" s="303" t="s">
        <v>274</v>
      </c>
      <c r="D31" s="95"/>
    </row>
    <row r="32" spans="1:14" s="114" customFormat="1" ht="14.45" customHeight="1" x14ac:dyDescent="0.2">
      <c r="A32" s="115"/>
      <c r="B32" s="129">
        <v>8</v>
      </c>
      <c r="C32" s="303" t="s">
        <v>275</v>
      </c>
      <c r="D32" s="95"/>
    </row>
    <row r="33" spans="1:15" s="114" customFormat="1" ht="14.45" customHeight="1" x14ac:dyDescent="0.2">
      <c r="A33" s="115"/>
      <c r="B33" s="129">
        <v>9</v>
      </c>
      <c r="C33" s="303" t="s">
        <v>276</v>
      </c>
      <c r="D33" s="95"/>
    </row>
    <row r="34" spans="1:15" s="114" customFormat="1" ht="14.45" customHeight="1" x14ac:dyDescent="0.2">
      <c r="A34" s="115"/>
      <c r="B34" s="129">
        <v>10</v>
      </c>
      <c r="C34" s="303" t="s">
        <v>277</v>
      </c>
      <c r="D34" s="95"/>
    </row>
    <row r="35" spans="1:15" s="114" customFormat="1" ht="14.45" customHeight="1" x14ac:dyDescent="0.2">
      <c r="A35" s="115"/>
      <c r="B35" s="129">
        <v>11</v>
      </c>
      <c r="C35" s="303" t="s">
        <v>278</v>
      </c>
      <c r="D35" s="95"/>
    </row>
    <row r="36" spans="1:15" s="114" customFormat="1" ht="14.45" customHeight="1" x14ac:dyDescent="0.2">
      <c r="A36" s="115"/>
      <c r="B36" s="129">
        <v>12</v>
      </c>
      <c r="C36" s="303" t="s">
        <v>279</v>
      </c>
      <c r="D36" s="95"/>
    </row>
    <row r="37" spans="1:15" s="114" customFormat="1" ht="14.45" customHeight="1" x14ac:dyDescent="0.2">
      <c r="A37" s="115"/>
      <c r="B37" s="129">
        <v>13</v>
      </c>
      <c r="C37" s="303" t="s">
        <v>280</v>
      </c>
      <c r="D37" s="95"/>
    </row>
    <row r="38" spans="1:15" s="114" customFormat="1" ht="14.45" customHeight="1" x14ac:dyDescent="0.2">
      <c r="A38" s="115"/>
      <c r="B38" s="129">
        <v>14</v>
      </c>
      <c r="C38" s="303" t="s">
        <v>281</v>
      </c>
      <c r="D38" s="95"/>
    </row>
    <row r="39" spans="1:15" s="114" customFormat="1" ht="14.45" customHeight="1" x14ac:dyDescent="0.2">
      <c r="A39" s="115"/>
      <c r="B39" s="115"/>
      <c r="C39" s="115"/>
      <c r="D39" s="115"/>
    </row>
    <row r="40" spans="1:15" s="114" customFormat="1" ht="14.45" customHeight="1" x14ac:dyDescent="0.2">
      <c r="A40" s="115"/>
      <c r="B40" s="182" t="s">
        <v>14</v>
      </c>
      <c r="F40" s="115"/>
      <c r="G40" s="115"/>
      <c r="H40" s="115"/>
      <c r="I40" s="115"/>
      <c r="J40" s="115"/>
      <c r="K40" s="115"/>
      <c r="L40" s="115"/>
      <c r="M40" s="115"/>
    </row>
    <row r="41" spans="1:15" s="114" customFormat="1" ht="14.45" customHeight="1" x14ac:dyDescent="0.2">
      <c r="A41" s="115"/>
      <c r="B41" s="466"/>
      <c r="C41" s="466"/>
      <c r="D41" s="466"/>
      <c r="E41" s="466"/>
      <c r="F41" s="115"/>
      <c r="G41" s="115"/>
      <c r="H41" s="115"/>
      <c r="I41" s="115"/>
      <c r="J41" s="115"/>
      <c r="K41" s="115"/>
      <c r="L41" s="115"/>
      <c r="M41" s="115"/>
    </row>
    <row r="42" spans="1:15" s="114" customFormat="1" x14ac:dyDescent="0.2">
      <c r="A42" s="115"/>
      <c r="B42" s="466"/>
      <c r="C42" s="466"/>
      <c r="D42" s="466"/>
      <c r="E42" s="466"/>
      <c r="F42" s="115"/>
      <c r="G42" s="115"/>
      <c r="H42" s="115"/>
      <c r="I42" s="115"/>
      <c r="J42" s="115"/>
      <c r="K42" s="115"/>
      <c r="L42" s="115"/>
      <c r="M42" s="115"/>
      <c r="N42" s="115"/>
      <c r="O42" s="115"/>
    </row>
    <row r="43" spans="1:15" s="114" customFormat="1" ht="14.45" customHeight="1" x14ac:dyDescent="0.2">
      <c r="A43" s="115"/>
      <c r="B43" s="466"/>
      <c r="C43" s="466"/>
      <c r="D43" s="466"/>
      <c r="E43" s="466"/>
      <c r="F43" s="115"/>
      <c r="G43" s="115"/>
      <c r="H43" s="115"/>
      <c r="I43" s="115"/>
      <c r="J43" s="115"/>
      <c r="K43" s="115"/>
      <c r="L43" s="115"/>
      <c r="M43" s="115"/>
      <c r="N43" s="115"/>
      <c r="O43" s="115"/>
    </row>
    <row r="44" spans="1:15" s="114" customFormat="1" ht="14.45" customHeight="1" x14ac:dyDescent="0.2">
      <c r="A44" s="115"/>
      <c r="B44" s="115"/>
      <c r="C44" s="115"/>
      <c r="D44" s="115"/>
      <c r="E44" s="115"/>
      <c r="F44" s="115"/>
      <c r="G44" s="115"/>
      <c r="H44" s="115"/>
      <c r="I44" s="115"/>
      <c r="J44" s="115"/>
      <c r="K44" s="115"/>
      <c r="L44" s="115"/>
      <c r="M44" s="115"/>
      <c r="N44" s="115"/>
      <c r="O44" s="115"/>
    </row>
    <row r="45" spans="1:15" s="114" customFormat="1" ht="14.45" customHeight="1" x14ac:dyDescent="0.2">
      <c r="A45" s="115"/>
      <c r="B45" s="115"/>
      <c r="C45" s="115"/>
      <c r="D45" s="115"/>
      <c r="E45" s="115"/>
      <c r="F45" s="115"/>
      <c r="G45" s="115"/>
      <c r="H45" s="115"/>
      <c r="I45" s="115"/>
      <c r="J45" s="115"/>
      <c r="K45" s="115"/>
      <c r="L45" s="115"/>
      <c r="M45" s="115"/>
      <c r="N45" s="115"/>
      <c r="O45" s="115"/>
    </row>
    <row r="46" spans="1:15" ht="13.35" customHeight="1" x14ac:dyDescent="0.2"/>
    <row r="47" spans="1:15" ht="13.3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tabSelected="1" workbookViewId="0">
      <selection activeCell="B7" sqref="B7:Q15"/>
    </sheetView>
  </sheetViews>
  <sheetFormatPr defaultColWidth="11.42578125" defaultRowHeight="12.75" x14ac:dyDescent="0.2"/>
  <cols>
    <col min="1" max="1" width="2.85546875" style="115" customWidth="1"/>
    <col min="2" max="2" width="21.42578125" style="115" bestFit="1" customWidth="1"/>
    <col min="3" max="3" width="14.7109375" style="115" bestFit="1" customWidth="1"/>
    <col min="4" max="4" width="12.85546875" style="115" bestFit="1" customWidth="1"/>
    <col min="5" max="5" width="18" style="115" bestFit="1" customWidth="1"/>
    <col min="6" max="6" width="15.28515625" style="115" bestFit="1" customWidth="1"/>
    <col min="7" max="7" width="26.5703125" style="115" customWidth="1"/>
    <col min="8" max="15" width="14.42578125" style="115" customWidth="1"/>
    <col min="16" max="16" width="10.42578125" style="115" bestFit="1"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7" ht="13.5" thickBot="1" x14ac:dyDescent="0.25"/>
    <row r="2" spans="1:17" ht="47.1" customHeight="1" thickBot="1" x14ac:dyDescent="0.25">
      <c r="B2" s="437" t="s">
        <v>296</v>
      </c>
      <c r="C2" s="438"/>
      <c r="D2" s="438"/>
      <c r="E2" s="438"/>
      <c r="F2" s="438"/>
      <c r="G2" s="438"/>
      <c r="H2" s="438"/>
      <c r="I2" s="438"/>
      <c r="J2" s="438"/>
      <c r="K2" s="438"/>
      <c r="L2" s="438"/>
      <c r="M2" s="438"/>
      <c r="N2" s="438"/>
      <c r="O2" s="438"/>
      <c r="P2" s="438"/>
      <c r="Q2" s="439"/>
    </row>
    <row r="3" spans="1:17" ht="14.45" customHeight="1" x14ac:dyDescent="0.4">
      <c r="C3" s="117"/>
      <c r="D3" s="117"/>
      <c r="E3" s="114"/>
      <c r="F3" s="114"/>
      <c r="G3" s="114"/>
      <c r="H3" s="114"/>
      <c r="I3" s="114"/>
      <c r="J3" s="114"/>
      <c r="K3" s="114"/>
      <c r="L3" s="114"/>
      <c r="M3" s="114"/>
      <c r="N3" s="114"/>
      <c r="O3" s="114"/>
      <c r="P3" s="114"/>
    </row>
    <row r="4" spans="1:17" s="114" customFormat="1" ht="14.45" customHeight="1" x14ac:dyDescent="0.2"/>
    <row r="5" spans="1:17" s="114" customFormat="1" ht="12.75" customHeight="1" x14ac:dyDescent="0.2">
      <c r="A5" s="115"/>
      <c r="B5" s="534"/>
      <c r="C5" s="534"/>
      <c r="D5" s="534"/>
      <c r="E5" s="534"/>
      <c r="F5" s="534"/>
      <c r="G5" s="534"/>
      <c r="H5" s="534"/>
      <c r="I5" s="534"/>
      <c r="J5" s="534"/>
      <c r="K5" s="534"/>
      <c r="L5" s="534"/>
      <c r="M5" s="534"/>
      <c r="N5" s="534"/>
      <c r="O5" s="534"/>
      <c r="P5" s="534"/>
      <c r="Q5" s="534"/>
    </row>
    <row r="6" spans="1:17" s="114" customFormat="1" ht="44.25" customHeight="1" x14ac:dyDescent="0.2">
      <c r="A6" s="115"/>
      <c r="B6" s="319" t="s">
        <v>297</v>
      </c>
      <c r="C6" s="319" t="s">
        <v>298</v>
      </c>
      <c r="D6" s="320" t="s">
        <v>299</v>
      </c>
      <c r="E6" s="320" t="s">
        <v>300</v>
      </c>
      <c r="F6" s="320" t="s">
        <v>181</v>
      </c>
      <c r="G6" s="320" t="s">
        <v>301</v>
      </c>
      <c r="H6" s="312" t="s">
        <v>302</v>
      </c>
      <c r="I6" s="312" t="s">
        <v>303</v>
      </c>
      <c r="J6" s="312" t="s">
        <v>304</v>
      </c>
      <c r="K6" s="313" t="s">
        <v>305</v>
      </c>
      <c r="L6" s="313" t="s">
        <v>306</v>
      </c>
      <c r="M6" s="313" t="s">
        <v>307</v>
      </c>
      <c r="N6" s="312" t="s">
        <v>176</v>
      </c>
      <c r="O6" s="312" t="s">
        <v>308</v>
      </c>
      <c r="P6" s="313" t="s">
        <v>306</v>
      </c>
      <c r="Q6" s="313" t="s">
        <v>309</v>
      </c>
    </row>
    <row r="7" spans="1:17" s="114" customFormat="1" ht="15" x14ac:dyDescent="0.25">
      <c r="A7" s="115"/>
      <c r="B7" s="555" t="s">
        <v>324</v>
      </c>
      <c r="C7" s="555" t="s">
        <v>324</v>
      </c>
      <c r="D7" s="555" t="s">
        <v>310</v>
      </c>
      <c r="E7" s="555" t="s">
        <v>186</v>
      </c>
      <c r="F7" s="555" t="s">
        <v>423</v>
      </c>
      <c r="G7" s="555" t="s">
        <v>424</v>
      </c>
      <c r="H7" s="555">
        <v>12000000</v>
      </c>
      <c r="I7" s="555">
        <v>9000000</v>
      </c>
      <c r="J7" s="555">
        <v>0.8</v>
      </c>
      <c r="K7" s="555">
        <v>9600000</v>
      </c>
      <c r="L7" s="555">
        <v>3000000</v>
      </c>
      <c r="M7" s="555">
        <v>6600000</v>
      </c>
      <c r="N7" s="555">
        <v>1200000</v>
      </c>
      <c r="O7" s="555">
        <v>900000</v>
      </c>
      <c r="P7" s="555">
        <v>300000</v>
      </c>
      <c r="Q7" s="555">
        <v>600000</v>
      </c>
    </row>
    <row r="8" spans="1:17" s="114" customFormat="1" ht="14.45" customHeight="1" x14ac:dyDescent="0.25">
      <c r="A8" s="115"/>
      <c r="B8" s="555" t="s">
        <v>324</v>
      </c>
      <c r="C8" s="555" t="s">
        <v>324</v>
      </c>
      <c r="D8" s="555" t="s">
        <v>414</v>
      </c>
      <c r="E8" s="555" t="s">
        <v>408</v>
      </c>
      <c r="F8" s="555" t="s">
        <v>425</v>
      </c>
      <c r="G8" s="555" t="s">
        <v>426</v>
      </c>
      <c r="H8" s="555">
        <v>8500000</v>
      </c>
      <c r="I8" s="555">
        <v>6400000</v>
      </c>
      <c r="J8" s="555">
        <v>0.75</v>
      </c>
      <c r="K8" s="555">
        <v>6375000</v>
      </c>
      <c r="L8" s="555">
        <v>2100000</v>
      </c>
      <c r="M8" s="555">
        <v>4300000</v>
      </c>
      <c r="N8" s="555">
        <v>850000</v>
      </c>
      <c r="O8" s="555">
        <v>640000</v>
      </c>
      <c r="P8" s="555">
        <v>210000</v>
      </c>
      <c r="Q8" s="555">
        <v>430000</v>
      </c>
    </row>
    <row r="9" spans="1:17" s="114" customFormat="1" ht="14.45" customHeight="1" x14ac:dyDescent="0.25">
      <c r="A9" s="115"/>
      <c r="B9" s="555" t="s">
        <v>324</v>
      </c>
      <c r="C9" s="555" t="s">
        <v>324</v>
      </c>
      <c r="D9" s="555" t="s">
        <v>415</v>
      </c>
      <c r="E9" s="555" t="s">
        <v>409</v>
      </c>
      <c r="F9" s="555" t="s">
        <v>427</v>
      </c>
      <c r="G9" s="555" t="s">
        <v>428</v>
      </c>
      <c r="H9" s="555">
        <v>6400000</v>
      </c>
      <c r="I9" s="555">
        <v>4800000</v>
      </c>
      <c r="J9" s="555">
        <v>0.7</v>
      </c>
      <c r="K9" s="555">
        <v>4480000</v>
      </c>
      <c r="L9" s="555">
        <v>1600000</v>
      </c>
      <c r="M9" s="555">
        <v>3200000</v>
      </c>
      <c r="N9" s="555">
        <v>640000</v>
      </c>
      <c r="O9" s="555">
        <v>480000</v>
      </c>
      <c r="P9" s="555">
        <v>160000</v>
      </c>
      <c r="Q9" s="555">
        <v>320000</v>
      </c>
    </row>
    <row r="10" spans="1:17" s="114" customFormat="1" ht="14.45" customHeight="1" x14ac:dyDescent="0.25">
      <c r="A10" s="115"/>
      <c r="B10" s="555" t="s">
        <v>324</v>
      </c>
      <c r="C10" s="555" t="s">
        <v>324</v>
      </c>
      <c r="D10" s="555" t="s">
        <v>416</v>
      </c>
      <c r="E10" s="555" t="s">
        <v>412</v>
      </c>
      <c r="F10" s="555" t="s">
        <v>429</v>
      </c>
      <c r="G10" s="555" t="s">
        <v>430</v>
      </c>
      <c r="H10" s="555">
        <v>7200000</v>
      </c>
      <c r="I10" s="555">
        <v>5400000</v>
      </c>
      <c r="J10" s="555">
        <v>0.85</v>
      </c>
      <c r="K10" s="555">
        <v>6120000</v>
      </c>
      <c r="L10" s="555">
        <v>1800000</v>
      </c>
      <c r="M10" s="555">
        <v>3600000</v>
      </c>
      <c r="N10" s="555">
        <v>720000</v>
      </c>
      <c r="O10" s="555">
        <v>540000</v>
      </c>
      <c r="P10" s="555">
        <v>180000</v>
      </c>
      <c r="Q10" s="555">
        <v>360000</v>
      </c>
    </row>
    <row r="11" spans="1:17" s="114" customFormat="1" ht="14.45" customHeight="1" x14ac:dyDescent="0.25">
      <c r="A11" s="115"/>
      <c r="B11" s="555" t="s">
        <v>324</v>
      </c>
      <c r="C11" s="555" t="s">
        <v>324</v>
      </c>
      <c r="D11" s="555" t="s">
        <v>417</v>
      </c>
      <c r="E11" s="555" t="s">
        <v>410</v>
      </c>
      <c r="F11" s="555" t="s">
        <v>431</v>
      </c>
      <c r="G11" s="555" t="s">
        <v>432</v>
      </c>
      <c r="H11" s="555">
        <v>5600000</v>
      </c>
      <c r="I11" s="555">
        <v>4200000</v>
      </c>
      <c r="J11" s="555">
        <v>0.65</v>
      </c>
      <c r="K11" s="555">
        <v>3640000</v>
      </c>
      <c r="L11" s="555">
        <v>1400000</v>
      </c>
      <c r="M11" s="555">
        <v>2800000</v>
      </c>
      <c r="N11" s="555">
        <v>560000</v>
      </c>
      <c r="O11" s="555">
        <v>420000</v>
      </c>
      <c r="P11" s="555">
        <v>140000</v>
      </c>
      <c r="Q11" s="555">
        <v>280000</v>
      </c>
    </row>
    <row r="12" spans="1:17" s="114" customFormat="1" ht="14.45" customHeight="1" x14ac:dyDescent="0.25">
      <c r="A12" s="115"/>
      <c r="B12" s="555" t="s">
        <v>324</v>
      </c>
      <c r="C12" s="555" t="s">
        <v>324</v>
      </c>
      <c r="D12" s="555" t="s">
        <v>418</v>
      </c>
      <c r="E12" s="555" t="s">
        <v>185</v>
      </c>
      <c r="F12" s="555" t="s">
        <v>433</v>
      </c>
      <c r="G12" s="555" t="s">
        <v>434</v>
      </c>
      <c r="H12" s="555">
        <v>9300000</v>
      </c>
      <c r="I12" s="555">
        <v>7000000</v>
      </c>
      <c r="J12" s="555">
        <v>0.8</v>
      </c>
      <c r="K12" s="555">
        <v>7440000</v>
      </c>
      <c r="L12" s="555">
        <v>2200000</v>
      </c>
      <c r="M12" s="555">
        <v>4800000</v>
      </c>
      <c r="N12" s="555">
        <v>930000</v>
      </c>
      <c r="O12" s="555">
        <v>700000</v>
      </c>
      <c r="P12" s="555">
        <v>220000</v>
      </c>
      <c r="Q12" s="555">
        <v>480000</v>
      </c>
    </row>
    <row r="13" spans="1:17" s="114" customFormat="1" ht="14.45" customHeight="1" x14ac:dyDescent="0.25">
      <c r="A13" s="115"/>
      <c r="B13" s="555" t="s">
        <v>324</v>
      </c>
      <c r="C13" s="555" t="s">
        <v>324</v>
      </c>
      <c r="D13" s="555" t="s">
        <v>419</v>
      </c>
      <c r="E13" s="555" t="s">
        <v>422</v>
      </c>
      <c r="F13" s="555" t="s">
        <v>435</v>
      </c>
      <c r="G13" s="555" t="s">
        <v>436</v>
      </c>
      <c r="H13" s="555">
        <v>8700000</v>
      </c>
      <c r="I13" s="555">
        <v>6600000</v>
      </c>
      <c r="J13" s="555">
        <v>0.9</v>
      </c>
      <c r="K13" s="555">
        <v>7830000</v>
      </c>
      <c r="L13" s="555">
        <v>2000000</v>
      </c>
      <c r="M13" s="555">
        <v>4600000</v>
      </c>
      <c r="N13" s="555">
        <v>870000</v>
      </c>
      <c r="O13" s="555">
        <v>660000</v>
      </c>
      <c r="P13" s="555">
        <v>200000</v>
      </c>
      <c r="Q13" s="555">
        <v>460000</v>
      </c>
    </row>
    <row r="14" spans="1:17" s="114" customFormat="1" ht="14.45" customHeight="1" x14ac:dyDescent="0.25">
      <c r="A14" s="115"/>
      <c r="B14" s="555" t="s">
        <v>324</v>
      </c>
      <c r="C14" s="555" t="s">
        <v>324</v>
      </c>
      <c r="D14" s="555" t="s">
        <v>420</v>
      </c>
      <c r="E14" s="555" t="s">
        <v>411</v>
      </c>
      <c r="F14" s="555" t="s">
        <v>437</v>
      </c>
      <c r="G14" s="555" t="s">
        <v>438</v>
      </c>
      <c r="H14" s="555">
        <v>6900000</v>
      </c>
      <c r="I14" s="555">
        <v>5200000</v>
      </c>
      <c r="J14" s="555">
        <v>0.7</v>
      </c>
      <c r="K14" s="555">
        <v>4830000</v>
      </c>
      <c r="L14" s="555">
        <v>1600000</v>
      </c>
      <c r="M14" s="555">
        <v>3600000</v>
      </c>
      <c r="N14" s="555">
        <v>690000</v>
      </c>
      <c r="O14" s="555">
        <v>520000</v>
      </c>
      <c r="P14" s="555">
        <v>160000</v>
      </c>
      <c r="Q14" s="555">
        <v>360000</v>
      </c>
    </row>
    <row r="15" spans="1:17" s="114" customFormat="1" ht="14.45" customHeight="1" x14ac:dyDescent="0.25">
      <c r="A15" s="115"/>
      <c r="B15" s="555" t="s">
        <v>324</v>
      </c>
      <c r="C15" s="555" t="s">
        <v>324</v>
      </c>
      <c r="D15" s="555" t="s">
        <v>421</v>
      </c>
      <c r="E15" s="555" t="s">
        <v>182</v>
      </c>
      <c r="F15" s="555" t="s">
        <v>439</v>
      </c>
      <c r="G15" s="555" t="s">
        <v>440</v>
      </c>
      <c r="H15" s="555">
        <v>15000000</v>
      </c>
      <c r="I15" s="555">
        <v>11000000</v>
      </c>
      <c r="J15" s="555">
        <v>0.95</v>
      </c>
      <c r="K15" s="555">
        <v>14250000</v>
      </c>
      <c r="L15" s="555">
        <v>3400000</v>
      </c>
      <c r="M15" s="555">
        <v>7600000</v>
      </c>
      <c r="N15" s="555">
        <v>1500000</v>
      </c>
      <c r="O15" s="555">
        <v>1100000</v>
      </c>
      <c r="P15" s="555">
        <v>340000</v>
      </c>
      <c r="Q15" s="555">
        <v>760000</v>
      </c>
    </row>
    <row r="16" spans="1:17" s="114" customFormat="1" ht="14.45" customHeight="1" x14ac:dyDescent="0.2">
      <c r="A16" s="115"/>
      <c r="B16" s="315"/>
      <c r="C16" s="315"/>
      <c r="D16" s="315"/>
      <c r="E16" s="314"/>
      <c r="F16" s="315"/>
      <c r="G16" s="315"/>
      <c r="H16" s="316"/>
      <c r="I16" s="316"/>
      <c r="J16" s="316"/>
      <c r="K16" s="317"/>
      <c r="L16" s="317"/>
      <c r="M16" s="317"/>
      <c r="N16" s="317"/>
      <c r="O16" s="317"/>
      <c r="P16" s="318"/>
      <c r="Q16" s="318"/>
    </row>
    <row r="17" spans="1:17" s="114" customFormat="1" ht="14.45" customHeight="1" x14ac:dyDescent="0.2">
      <c r="A17" s="115"/>
      <c r="B17" s="315"/>
      <c r="C17" s="315"/>
      <c r="D17" s="315"/>
      <c r="E17" s="314"/>
      <c r="F17" s="315"/>
      <c r="G17" s="315"/>
      <c r="H17" s="316"/>
      <c r="I17" s="316"/>
      <c r="J17" s="316"/>
      <c r="K17" s="317"/>
      <c r="L17" s="317"/>
      <c r="M17" s="317"/>
      <c r="N17" s="317"/>
      <c r="O17" s="317"/>
      <c r="P17" s="318"/>
      <c r="Q17" s="318"/>
    </row>
    <row r="18" spans="1:17" s="114" customFormat="1" ht="14.45" customHeight="1" x14ac:dyDescent="0.2">
      <c r="A18" s="115"/>
      <c r="B18" s="315"/>
      <c r="C18" s="315"/>
      <c r="D18" s="315"/>
      <c r="E18" s="314"/>
      <c r="F18" s="315"/>
      <c r="G18" s="315"/>
      <c r="H18" s="316"/>
      <c r="I18" s="316"/>
      <c r="J18" s="316"/>
      <c r="K18" s="317"/>
      <c r="L18" s="317"/>
      <c r="M18" s="317"/>
      <c r="N18" s="317"/>
      <c r="O18" s="317"/>
      <c r="P18" s="318"/>
      <c r="Q18" s="318"/>
    </row>
    <row r="19" spans="1:17" s="114" customFormat="1" ht="14.45" customHeight="1" x14ac:dyDescent="0.2">
      <c r="A19" s="115"/>
      <c r="B19" s="315"/>
      <c r="C19" s="315"/>
      <c r="D19" s="315"/>
      <c r="E19" s="314"/>
      <c r="F19" s="315"/>
      <c r="G19" s="315"/>
      <c r="H19" s="316"/>
      <c r="I19" s="316"/>
      <c r="J19" s="316"/>
      <c r="K19" s="317"/>
      <c r="L19" s="317"/>
      <c r="M19" s="317"/>
      <c r="N19" s="317"/>
      <c r="O19" s="317"/>
      <c r="P19" s="318"/>
      <c r="Q19" s="318"/>
    </row>
    <row r="20" spans="1:17" s="114" customFormat="1" ht="28.5" customHeight="1" x14ac:dyDescent="0.2">
      <c r="A20" s="115"/>
      <c r="B20" s="315"/>
      <c r="C20" s="315"/>
      <c r="D20" s="315"/>
      <c r="E20" s="314"/>
      <c r="F20" s="315"/>
      <c r="G20" s="315"/>
      <c r="H20" s="316"/>
      <c r="I20" s="316"/>
      <c r="J20" s="316"/>
      <c r="K20" s="317"/>
      <c r="L20" s="317"/>
      <c r="M20" s="317"/>
      <c r="N20" s="317"/>
      <c r="O20" s="317"/>
      <c r="P20" s="318"/>
      <c r="Q20" s="318"/>
    </row>
    <row r="21" spans="1:17" s="114" customFormat="1" ht="14.45" customHeight="1" x14ac:dyDescent="0.2">
      <c r="A21" s="115"/>
    </row>
    <row r="22" spans="1:17" s="114" customFormat="1" ht="14.45" customHeight="1" x14ac:dyDescent="0.2">
      <c r="A22" s="115"/>
    </row>
    <row r="23" spans="1:17" s="114" customFormat="1" ht="14.45" customHeight="1" x14ac:dyDescent="0.2">
      <c r="A23" s="115"/>
      <c r="B23" s="535" t="s">
        <v>325</v>
      </c>
      <c r="C23" s="535"/>
    </row>
    <row r="24" spans="1:17" s="114" customFormat="1" ht="14.45" customHeight="1" x14ac:dyDescent="0.2">
      <c r="A24" s="115"/>
      <c r="B24" s="535"/>
      <c r="C24" s="535"/>
    </row>
    <row r="25" spans="1:17" s="114" customFormat="1" ht="14.45" customHeight="1" x14ac:dyDescent="0.2">
      <c r="A25" s="115"/>
    </row>
    <row r="26" spans="1:17" s="114" customFormat="1" ht="14.45" customHeight="1" x14ac:dyDescent="0.2">
      <c r="A26" s="115"/>
    </row>
    <row r="27" spans="1:17" s="114" customFormat="1" ht="14.45" customHeight="1" x14ac:dyDescent="0.2">
      <c r="A27" s="115"/>
    </row>
    <row r="28" spans="1:17" s="114" customFormat="1" ht="14.45" customHeight="1" x14ac:dyDescent="0.2">
      <c r="A28" s="115"/>
    </row>
    <row r="29" spans="1:17" s="114" customFormat="1" ht="14.45" customHeight="1" x14ac:dyDescent="0.2">
      <c r="A29" s="115"/>
    </row>
    <row r="30" spans="1:17" s="114" customFormat="1" ht="14.45" customHeight="1" x14ac:dyDescent="0.2">
      <c r="A30" s="115"/>
    </row>
    <row r="31" spans="1:17" s="114" customFormat="1" ht="14.45" customHeight="1" x14ac:dyDescent="0.2">
      <c r="A31" s="115"/>
    </row>
    <row r="32" spans="1:17" s="114" customFormat="1" ht="14.45" customHeight="1" x14ac:dyDescent="0.2">
      <c r="A32" s="115"/>
      <c r="B32" s="182" t="s">
        <v>14</v>
      </c>
      <c r="K32" s="115"/>
      <c r="L32" s="115"/>
      <c r="M32" s="115"/>
    </row>
    <row r="33" spans="1:15" s="114" customFormat="1" ht="14.45" customHeight="1" x14ac:dyDescent="0.2">
      <c r="A33" s="115"/>
      <c r="B33" s="466"/>
      <c r="C33" s="466"/>
      <c r="D33" s="466"/>
      <c r="E33" s="466"/>
      <c r="F33" s="115"/>
      <c r="G33" s="115"/>
      <c r="H33" s="115"/>
      <c r="I33" s="115"/>
      <c r="J33" s="115"/>
      <c r="K33" s="115"/>
      <c r="L33" s="115"/>
      <c r="M33" s="115"/>
    </row>
    <row r="34" spans="1:15" s="114" customFormat="1" x14ac:dyDescent="0.2">
      <c r="A34" s="115"/>
      <c r="B34" s="466"/>
      <c r="C34" s="466"/>
      <c r="D34" s="466"/>
      <c r="E34" s="466"/>
      <c r="F34" s="115"/>
      <c r="G34" s="115"/>
      <c r="H34" s="115"/>
      <c r="I34" s="115"/>
      <c r="J34" s="115"/>
      <c r="K34" s="115"/>
      <c r="L34" s="115"/>
      <c r="M34" s="115"/>
      <c r="N34" s="115"/>
      <c r="O34" s="115"/>
    </row>
    <row r="35" spans="1:15" s="114" customFormat="1" ht="14.45" customHeight="1" x14ac:dyDescent="0.2">
      <c r="A35" s="115"/>
      <c r="B35" s="466"/>
      <c r="C35" s="466"/>
      <c r="D35" s="466"/>
      <c r="E35" s="466"/>
      <c r="F35" s="115"/>
      <c r="G35" s="115"/>
      <c r="H35" s="115"/>
      <c r="I35" s="115"/>
      <c r="J35" s="115"/>
      <c r="K35" s="115"/>
      <c r="L35" s="115"/>
      <c r="M35" s="115"/>
      <c r="N35" s="115"/>
      <c r="O35" s="115"/>
    </row>
    <row r="36" spans="1:15" s="114" customFormat="1" ht="14.45" customHeight="1" x14ac:dyDescent="0.2">
      <c r="A36" s="115"/>
      <c r="B36" s="115"/>
      <c r="C36" s="115"/>
      <c r="D36" s="115"/>
      <c r="E36" s="115"/>
      <c r="F36" s="115"/>
      <c r="G36" s="115"/>
      <c r="H36" s="115"/>
      <c r="I36" s="115"/>
      <c r="J36" s="115"/>
      <c r="K36" s="115"/>
      <c r="L36" s="115"/>
      <c r="M36" s="115"/>
      <c r="N36" s="115"/>
      <c r="O36" s="115"/>
    </row>
    <row r="37" spans="1:15" s="114" customFormat="1" ht="14.45" customHeight="1" x14ac:dyDescent="0.2">
      <c r="A37" s="115"/>
      <c r="B37" s="115"/>
      <c r="C37" s="115"/>
      <c r="D37" s="115"/>
      <c r="E37" s="115"/>
      <c r="F37" s="115"/>
      <c r="G37" s="115"/>
      <c r="H37" s="115"/>
      <c r="I37" s="115"/>
      <c r="J37" s="115"/>
      <c r="K37" s="115"/>
      <c r="L37" s="115"/>
      <c r="M37" s="115"/>
      <c r="N37" s="115"/>
      <c r="O37" s="115"/>
    </row>
    <row r="38" spans="1:15" ht="13.35" customHeight="1" x14ac:dyDescent="0.2"/>
    <row r="39" spans="1:15" ht="13.35" customHeight="1" x14ac:dyDescent="0.2"/>
  </sheetData>
  <mergeCells count="4">
    <mergeCell ref="B33:E35"/>
    <mergeCell ref="B5:Q5"/>
    <mergeCell ref="B2:Q2"/>
    <mergeCell ref="B23:C24"/>
  </mergeCells>
  <conditionalFormatting sqref="B8:C8 B10:C10 B12:C12">
    <cfRule type="cellIs" dxfId="3" priority="2" operator="lessThan">
      <formula>36526</formula>
    </cfRule>
  </conditionalFormatting>
  <conditionalFormatting sqref="B7:C15">
    <cfRule type="cellIs" dxfId="2"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142875</xdr:colOff>
                <xdr:row>22</xdr:row>
                <xdr:rowOff>9525</xdr:rowOff>
              </from>
              <to>
                <xdr:col>4</xdr:col>
                <xdr:colOff>1047750</xdr:colOff>
                <xdr:row>26</xdr:row>
                <xdr:rowOff>104775</xdr:rowOff>
              </to>
            </anchor>
          </objectPr>
        </oleObject>
      </mc:Choice>
      <mc:Fallback>
        <oleObject progId="Document" dvAspect="DVASPECT_ICON" shapeId="24583" r:id="rId5"/>
      </mc:Fallback>
    </mc:AlternateContent>
  </oleObjec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8"/>
  <sheetViews>
    <sheetView topLeftCell="A6" workbookViewId="0">
      <selection activeCell="K18" sqref="K18"/>
    </sheetView>
  </sheetViews>
  <sheetFormatPr defaultColWidth="11.42578125" defaultRowHeight="12.75" x14ac:dyDescent="0.2"/>
  <cols>
    <col min="1" max="1" width="2.85546875" style="2" customWidth="1"/>
    <col min="2" max="2" width="6.85546875" style="2" customWidth="1"/>
    <col min="3" max="3" width="13.85546875" style="2" customWidth="1"/>
    <col min="4" max="4" width="1.5703125" style="2" customWidth="1"/>
    <col min="5" max="12" width="13.85546875" style="2" customWidth="1"/>
    <col min="13" max="257" width="11.42578125" style="2"/>
    <col min="258" max="258" width="6.85546875" style="2" customWidth="1"/>
    <col min="259" max="259" width="13.85546875" style="2" customWidth="1"/>
    <col min="260" max="260" width="1.5703125" style="2" customWidth="1"/>
    <col min="261" max="268" width="13.85546875" style="2" customWidth="1"/>
    <col min="269" max="513" width="11.42578125" style="2"/>
    <col min="514" max="514" width="6.85546875" style="2" customWidth="1"/>
    <col min="515" max="515" width="13.85546875" style="2" customWidth="1"/>
    <col min="516" max="516" width="1.5703125" style="2" customWidth="1"/>
    <col min="517" max="524" width="13.85546875" style="2" customWidth="1"/>
    <col min="525" max="769" width="11.42578125" style="2"/>
    <col min="770" max="770" width="6.85546875" style="2" customWidth="1"/>
    <col min="771" max="771" width="13.85546875" style="2" customWidth="1"/>
    <col min="772" max="772" width="1.5703125" style="2" customWidth="1"/>
    <col min="773" max="780" width="13.85546875" style="2" customWidth="1"/>
    <col min="781" max="1025" width="11.42578125" style="2"/>
    <col min="1026" max="1026" width="6.85546875" style="2" customWidth="1"/>
    <col min="1027" max="1027" width="13.85546875" style="2" customWidth="1"/>
    <col min="1028" max="1028" width="1.5703125" style="2" customWidth="1"/>
    <col min="1029" max="1036" width="13.85546875" style="2" customWidth="1"/>
    <col min="1037" max="1281" width="11.42578125" style="2"/>
    <col min="1282" max="1282" width="6.85546875" style="2" customWidth="1"/>
    <col min="1283" max="1283" width="13.85546875" style="2" customWidth="1"/>
    <col min="1284" max="1284" width="1.5703125" style="2" customWidth="1"/>
    <col min="1285" max="1292" width="13.85546875" style="2" customWidth="1"/>
    <col min="1293" max="1537" width="11.42578125" style="2"/>
    <col min="1538" max="1538" width="6.85546875" style="2" customWidth="1"/>
    <col min="1539" max="1539" width="13.85546875" style="2" customWidth="1"/>
    <col min="1540" max="1540" width="1.5703125" style="2" customWidth="1"/>
    <col min="1541" max="1548" width="13.85546875" style="2" customWidth="1"/>
    <col min="1549" max="1793" width="11.42578125" style="2"/>
    <col min="1794" max="1794" width="6.85546875" style="2" customWidth="1"/>
    <col min="1795" max="1795" width="13.85546875" style="2" customWidth="1"/>
    <col min="1796" max="1796" width="1.5703125" style="2" customWidth="1"/>
    <col min="1797" max="1804" width="13.85546875" style="2" customWidth="1"/>
    <col min="1805" max="2049" width="11.42578125" style="2"/>
    <col min="2050" max="2050" width="6.85546875" style="2" customWidth="1"/>
    <col min="2051" max="2051" width="13.85546875" style="2" customWidth="1"/>
    <col min="2052" max="2052" width="1.5703125" style="2" customWidth="1"/>
    <col min="2053" max="2060" width="13.85546875" style="2" customWidth="1"/>
    <col min="2061" max="2305" width="11.42578125" style="2"/>
    <col min="2306" max="2306" width="6.85546875" style="2" customWidth="1"/>
    <col min="2307" max="2307" width="13.85546875" style="2" customWidth="1"/>
    <col min="2308" max="2308" width="1.5703125" style="2" customWidth="1"/>
    <col min="2309" max="2316" width="13.85546875" style="2" customWidth="1"/>
    <col min="2317" max="2561" width="11.42578125" style="2"/>
    <col min="2562" max="2562" width="6.85546875" style="2" customWidth="1"/>
    <col min="2563" max="2563" width="13.85546875" style="2" customWidth="1"/>
    <col min="2564" max="2564" width="1.5703125" style="2" customWidth="1"/>
    <col min="2565" max="2572" width="13.85546875" style="2" customWidth="1"/>
    <col min="2573" max="2817" width="11.42578125" style="2"/>
    <col min="2818" max="2818" width="6.85546875" style="2" customWidth="1"/>
    <col min="2819" max="2819" width="13.85546875" style="2" customWidth="1"/>
    <col min="2820" max="2820" width="1.5703125" style="2" customWidth="1"/>
    <col min="2821" max="2828" width="13.85546875" style="2" customWidth="1"/>
    <col min="2829" max="3073" width="11.42578125" style="2"/>
    <col min="3074" max="3074" width="6.85546875" style="2" customWidth="1"/>
    <col min="3075" max="3075" width="13.85546875" style="2" customWidth="1"/>
    <col min="3076" max="3076" width="1.5703125" style="2" customWidth="1"/>
    <col min="3077" max="3084" width="13.85546875" style="2" customWidth="1"/>
    <col min="3085" max="3329" width="11.42578125" style="2"/>
    <col min="3330" max="3330" width="6.85546875" style="2" customWidth="1"/>
    <col min="3331" max="3331" width="13.85546875" style="2" customWidth="1"/>
    <col min="3332" max="3332" width="1.5703125" style="2" customWidth="1"/>
    <col min="3333" max="3340" width="13.85546875" style="2" customWidth="1"/>
    <col min="3341" max="3585" width="11.42578125" style="2"/>
    <col min="3586" max="3586" width="6.85546875" style="2" customWidth="1"/>
    <col min="3587" max="3587" width="13.85546875" style="2" customWidth="1"/>
    <col min="3588" max="3588" width="1.5703125" style="2" customWidth="1"/>
    <col min="3589" max="3596" width="13.85546875" style="2" customWidth="1"/>
    <col min="3597" max="3841" width="11.42578125" style="2"/>
    <col min="3842" max="3842" width="6.85546875" style="2" customWidth="1"/>
    <col min="3843" max="3843" width="13.85546875" style="2" customWidth="1"/>
    <col min="3844" max="3844" width="1.5703125" style="2" customWidth="1"/>
    <col min="3845" max="3852" width="13.85546875" style="2" customWidth="1"/>
    <col min="3853" max="4097" width="11.42578125" style="2"/>
    <col min="4098" max="4098" width="6.85546875" style="2" customWidth="1"/>
    <col min="4099" max="4099" width="13.85546875" style="2" customWidth="1"/>
    <col min="4100" max="4100" width="1.5703125" style="2" customWidth="1"/>
    <col min="4101" max="4108" width="13.85546875" style="2" customWidth="1"/>
    <col min="4109" max="4353" width="11.42578125" style="2"/>
    <col min="4354" max="4354" width="6.85546875" style="2" customWidth="1"/>
    <col min="4355" max="4355" width="13.85546875" style="2" customWidth="1"/>
    <col min="4356" max="4356" width="1.5703125" style="2" customWidth="1"/>
    <col min="4357" max="4364" width="13.85546875" style="2" customWidth="1"/>
    <col min="4365" max="4609" width="11.42578125" style="2"/>
    <col min="4610" max="4610" width="6.85546875" style="2" customWidth="1"/>
    <col min="4611" max="4611" width="13.85546875" style="2" customWidth="1"/>
    <col min="4612" max="4612" width="1.5703125" style="2" customWidth="1"/>
    <col min="4613" max="4620" width="13.85546875" style="2" customWidth="1"/>
    <col min="4621" max="4865" width="11.42578125" style="2"/>
    <col min="4866" max="4866" width="6.85546875" style="2" customWidth="1"/>
    <col min="4867" max="4867" width="13.85546875" style="2" customWidth="1"/>
    <col min="4868" max="4868" width="1.5703125" style="2" customWidth="1"/>
    <col min="4869" max="4876" width="13.85546875" style="2" customWidth="1"/>
    <col min="4877" max="5121" width="11.42578125" style="2"/>
    <col min="5122" max="5122" width="6.85546875" style="2" customWidth="1"/>
    <col min="5123" max="5123" width="13.85546875" style="2" customWidth="1"/>
    <col min="5124" max="5124" width="1.5703125" style="2" customWidth="1"/>
    <col min="5125" max="5132" width="13.85546875" style="2" customWidth="1"/>
    <col min="5133" max="5377" width="11.42578125" style="2"/>
    <col min="5378" max="5378" width="6.85546875" style="2" customWidth="1"/>
    <col min="5379" max="5379" width="13.85546875" style="2" customWidth="1"/>
    <col min="5380" max="5380" width="1.5703125" style="2" customWidth="1"/>
    <col min="5381" max="5388" width="13.85546875" style="2" customWidth="1"/>
    <col min="5389" max="5633" width="11.42578125" style="2"/>
    <col min="5634" max="5634" width="6.85546875" style="2" customWidth="1"/>
    <col min="5635" max="5635" width="13.85546875" style="2" customWidth="1"/>
    <col min="5636" max="5636" width="1.5703125" style="2" customWidth="1"/>
    <col min="5637" max="5644" width="13.85546875" style="2" customWidth="1"/>
    <col min="5645" max="5889" width="11.42578125" style="2"/>
    <col min="5890" max="5890" width="6.85546875" style="2" customWidth="1"/>
    <col min="5891" max="5891" width="13.85546875" style="2" customWidth="1"/>
    <col min="5892" max="5892" width="1.5703125" style="2" customWidth="1"/>
    <col min="5893" max="5900" width="13.85546875" style="2" customWidth="1"/>
    <col min="5901" max="6145" width="11.42578125" style="2"/>
    <col min="6146" max="6146" width="6.85546875" style="2" customWidth="1"/>
    <col min="6147" max="6147" width="13.85546875" style="2" customWidth="1"/>
    <col min="6148" max="6148" width="1.5703125" style="2" customWidth="1"/>
    <col min="6149" max="6156" width="13.85546875" style="2" customWidth="1"/>
    <col min="6157" max="6401" width="11.42578125" style="2"/>
    <col min="6402" max="6402" width="6.85546875" style="2" customWidth="1"/>
    <col min="6403" max="6403" width="13.85546875" style="2" customWidth="1"/>
    <col min="6404" max="6404" width="1.5703125" style="2" customWidth="1"/>
    <col min="6405" max="6412" width="13.85546875" style="2" customWidth="1"/>
    <col min="6413" max="6657" width="11.42578125" style="2"/>
    <col min="6658" max="6658" width="6.85546875" style="2" customWidth="1"/>
    <col min="6659" max="6659" width="13.85546875" style="2" customWidth="1"/>
    <col min="6660" max="6660" width="1.5703125" style="2" customWidth="1"/>
    <col min="6661" max="6668" width="13.85546875" style="2" customWidth="1"/>
    <col min="6669" max="6913" width="11.42578125" style="2"/>
    <col min="6914" max="6914" width="6.85546875" style="2" customWidth="1"/>
    <col min="6915" max="6915" width="13.85546875" style="2" customWidth="1"/>
    <col min="6916" max="6916" width="1.5703125" style="2" customWidth="1"/>
    <col min="6917" max="6924" width="13.85546875" style="2" customWidth="1"/>
    <col min="6925" max="7169" width="11.42578125" style="2"/>
    <col min="7170" max="7170" width="6.85546875" style="2" customWidth="1"/>
    <col min="7171" max="7171" width="13.85546875" style="2" customWidth="1"/>
    <col min="7172" max="7172" width="1.5703125" style="2" customWidth="1"/>
    <col min="7173" max="7180" width="13.85546875" style="2" customWidth="1"/>
    <col min="7181" max="7425" width="11.42578125" style="2"/>
    <col min="7426" max="7426" width="6.85546875" style="2" customWidth="1"/>
    <col min="7427" max="7427" width="13.85546875" style="2" customWidth="1"/>
    <col min="7428" max="7428" width="1.5703125" style="2" customWidth="1"/>
    <col min="7429" max="7436" width="13.85546875" style="2" customWidth="1"/>
    <col min="7437" max="7681" width="11.42578125" style="2"/>
    <col min="7682" max="7682" width="6.85546875" style="2" customWidth="1"/>
    <col min="7683" max="7683" width="13.85546875" style="2" customWidth="1"/>
    <col min="7684" max="7684" width="1.5703125" style="2" customWidth="1"/>
    <col min="7685" max="7692" width="13.85546875" style="2" customWidth="1"/>
    <col min="7693" max="7937" width="11.42578125" style="2"/>
    <col min="7938" max="7938" width="6.85546875" style="2" customWidth="1"/>
    <col min="7939" max="7939" width="13.85546875" style="2" customWidth="1"/>
    <col min="7940" max="7940" width="1.5703125" style="2" customWidth="1"/>
    <col min="7941" max="7948" width="13.85546875" style="2" customWidth="1"/>
    <col min="7949" max="8193" width="11.42578125" style="2"/>
    <col min="8194" max="8194" width="6.85546875" style="2" customWidth="1"/>
    <col min="8195" max="8195" width="13.85546875" style="2" customWidth="1"/>
    <col min="8196" max="8196" width="1.5703125" style="2" customWidth="1"/>
    <col min="8197" max="8204" width="13.85546875" style="2" customWidth="1"/>
    <col min="8205" max="8449" width="11.42578125" style="2"/>
    <col min="8450" max="8450" width="6.85546875" style="2" customWidth="1"/>
    <col min="8451" max="8451" width="13.85546875" style="2" customWidth="1"/>
    <col min="8452" max="8452" width="1.5703125" style="2" customWidth="1"/>
    <col min="8453" max="8460" width="13.85546875" style="2" customWidth="1"/>
    <col min="8461" max="8705" width="11.42578125" style="2"/>
    <col min="8706" max="8706" width="6.85546875" style="2" customWidth="1"/>
    <col min="8707" max="8707" width="13.85546875" style="2" customWidth="1"/>
    <col min="8708" max="8708" width="1.5703125" style="2" customWidth="1"/>
    <col min="8709" max="8716" width="13.85546875" style="2" customWidth="1"/>
    <col min="8717" max="8961" width="11.42578125" style="2"/>
    <col min="8962" max="8962" width="6.85546875" style="2" customWidth="1"/>
    <col min="8963" max="8963" width="13.85546875" style="2" customWidth="1"/>
    <col min="8964" max="8964" width="1.5703125" style="2" customWidth="1"/>
    <col min="8965" max="8972" width="13.85546875" style="2" customWidth="1"/>
    <col min="8973" max="9217" width="11.42578125" style="2"/>
    <col min="9218" max="9218" width="6.85546875" style="2" customWidth="1"/>
    <col min="9219" max="9219" width="13.85546875" style="2" customWidth="1"/>
    <col min="9220" max="9220" width="1.5703125" style="2" customWidth="1"/>
    <col min="9221" max="9228" width="13.85546875" style="2" customWidth="1"/>
    <col min="9229" max="9473" width="11.42578125" style="2"/>
    <col min="9474" max="9474" width="6.85546875" style="2" customWidth="1"/>
    <col min="9475" max="9475" width="13.85546875" style="2" customWidth="1"/>
    <col min="9476" max="9476" width="1.5703125" style="2" customWidth="1"/>
    <col min="9477" max="9484" width="13.85546875" style="2" customWidth="1"/>
    <col min="9485" max="9729" width="11.42578125" style="2"/>
    <col min="9730" max="9730" width="6.85546875" style="2" customWidth="1"/>
    <col min="9731" max="9731" width="13.85546875" style="2" customWidth="1"/>
    <col min="9732" max="9732" width="1.5703125" style="2" customWidth="1"/>
    <col min="9733" max="9740" width="13.85546875" style="2" customWidth="1"/>
    <col min="9741" max="9985" width="11.42578125" style="2"/>
    <col min="9986" max="9986" width="6.85546875" style="2" customWidth="1"/>
    <col min="9987" max="9987" width="13.85546875" style="2" customWidth="1"/>
    <col min="9988" max="9988" width="1.5703125" style="2" customWidth="1"/>
    <col min="9989" max="9996" width="13.85546875" style="2" customWidth="1"/>
    <col min="9997" max="10241" width="11.42578125" style="2"/>
    <col min="10242" max="10242" width="6.85546875" style="2" customWidth="1"/>
    <col min="10243" max="10243" width="13.85546875" style="2" customWidth="1"/>
    <col min="10244" max="10244" width="1.5703125" style="2" customWidth="1"/>
    <col min="10245" max="10252" width="13.85546875" style="2" customWidth="1"/>
    <col min="10253" max="10497" width="11.42578125" style="2"/>
    <col min="10498" max="10498" width="6.85546875" style="2" customWidth="1"/>
    <col min="10499" max="10499" width="13.85546875" style="2" customWidth="1"/>
    <col min="10500" max="10500" width="1.5703125" style="2" customWidth="1"/>
    <col min="10501" max="10508" width="13.85546875" style="2" customWidth="1"/>
    <col min="10509" max="10753" width="11.42578125" style="2"/>
    <col min="10754" max="10754" width="6.85546875" style="2" customWidth="1"/>
    <col min="10755" max="10755" width="13.85546875" style="2" customWidth="1"/>
    <col min="10756" max="10756" width="1.5703125" style="2" customWidth="1"/>
    <col min="10757" max="10764" width="13.85546875" style="2" customWidth="1"/>
    <col min="10765" max="11009" width="11.42578125" style="2"/>
    <col min="11010" max="11010" width="6.85546875" style="2" customWidth="1"/>
    <col min="11011" max="11011" width="13.85546875" style="2" customWidth="1"/>
    <col min="11012" max="11012" width="1.5703125" style="2" customWidth="1"/>
    <col min="11013" max="11020" width="13.85546875" style="2" customWidth="1"/>
    <col min="11021" max="11265" width="11.42578125" style="2"/>
    <col min="11266" max="11266" width="6.85546875" style="2" customWidth="1"/>
    <col min="11267" max="11267" width="13.85546875" style="2" customWidth="1"/>
    <col min="11268" max="11268" width="1.5703125" style="2" customWidth="1"/>
    <col min="11269" max="11276" width="13.85546875" style="2" customWidth="1"/>
    <col min="11277" max="11521" width="11.42578125" style="2"/>
    <col min="11522" max="11522" width="6.85546875" style="2" customWidth="1"/>
    <col min="11523" max="11523" width="13.85546875" style="2" customWidth="1"/>
    <col min="11524" max="11524" width="1.5703125" style="2" customWidth="1"/>
    <col min="11525" max="11532" width="13.85546875" style="2" customWidth="1"/>
    <col min="11533" max="11777" width="11.42578125" style="2"/>
    <col min="11778" max="11778" width="6.85546875" style="2" customWidth="1"/>
    <col min="11779" max="11779" width="13.85546875" style="2" customWidth="1"/>
    <col min="11780" max="11780" width="1.5703125" style="2" customWidth="1"/>
    <col min="11781" max="11788" width="13.85546875" style="2" customWidth="1"/>
    <col min="11789" max="12033" width="11.42578125" style="2"/>
    <col min="12034" max="12034" width="6.85546875" style="2" customWidth="1"/>
    <col min="12035" max="12035" width="13.85546875" style="2" customWidth="1"/>
    <col min="12036" max="12036" width="1.5703125" style="2" customWidth="1"/>
    <col min="12037" max="12044" width="13.85546875" style="2" customWidth="1"/>
    <col min="12045" max="12289" width="11.42578125" style="2"/>
    <col min="12290" max="12290" width="6.85546875" style="2" customWidth="1"/>
    <col min="12291" max="12291" width="13.85546875" style="2" customWidth="1"/>
    <col min="12292" max="12292" width="1.5703125" style="2" customWidth="1"/>
    <col min="12293" max="12300" width="13.85546875" style="2" customWidth="1"/>
    <col min="12301" max="12545" width="11.42578125" style="2"/>
    <col min="12546" max="12546" width="6.85546875" style="2" customWidth="1"/>
    <col min="12547" max="12547" width="13.85546875" style="2" customWidth="1"/>
    <col min="12548" max="12548" width="1.5703125" style="2" customWidth="1"/>
    <col min="12549" max="12556" width="13.85546875" style="2" customWidth="1"/>
    <col min="12557" max="12801" width="11.42578125" style="2"/>
    <col min="12802" max="12802" width="6.85546875" style="2" customWidth="1"/>
    <col min="12803" max="12803" width="13.85546875" style="2" customWidth="1"/>
    <col min="12804" max="12804" width="1.5703125" style="2" customWidth="1"/>
    <col min="12805" max="12812" width="13.85546875" style="2" customWidth="1"/>
    <col min="12813" max="13057" width="11.42578125" style="2"/>
    <col min="13058" max="13058" width="6.85546875" style="2" customWidth="1"/>
    <col min="13059" max="13059" width="13.85546875" style="2" customWidth="1"/>
    <col min="13060" max="13060" width="1.5703125" style="2" customWidth="1"/>
    <col min="13061" max="13068" width="13.85546875" style="2" customWidth="1"/>
    <col min="13069" max="13313" width="11.42578125" style="2"/>
    <col min="13314" max="13314" width="6.85546875" style="2" customWidth="1"/>
    <col min="13315" max="13315" width="13.85546875" style="2" customWidth="1"/>
    <col min="13316" max="13316" width="1.5703125" style="2" customWidth="1"/>
    <col min="13317" max="13324" width="13.85546875" style="2" customWidth="1"/>
    <col min="13325" max="13569" width="11.42578125" style="2"/>
    <col min="13570" max="13570" width="6.85546875" style="2" customWidth="1"/>
    <col min="13571" max="13571" width="13.85546875" style="2" customWidth="1"/>
    <col min="13572" max="13572" width="1.5703125" style="2" customWidth="1"/>
    <col min="13573" max="13580" width="13.85546875" style="2" customWidth="1"/>
    <col min="13581" max="13825" width="11.42578125" style="2"/>
    <col min="13826" max="13826" width="6.85546875" style="2" customWidth="1"/>
    <col min="13827" max="13827" width="13.85546875" style="2" customWidth="1"/>
    <col min="13828" max="13828" width="1.5703125" style="2" customWidth="1"/>
    <col min="13829" max="13836" width="13.85546875" style="2" customWidth="1"/>
    <col min="13837" max="14081" width="11.42578125" style="2"/>
    <col min="14082" max="14082" width="6.85546875" style="2" customWidth="1"/>
    <col min="14083" max="14083" width="13.85546875" style="2" customWidth="1"/>
    <col min="14084" max="14084" width="1.5703125" style="2" customWidth="1"/>
    <col min="14085" max="14092" width="13.85546875" style="2" customWidth="1"/>
    <col min="14093" max="14337" width="11.42578125" style="2"/>
    <col min="14338" max="14338" width="6.85546875" style="2" customWidth="1"/>
    <col min="14339" max="14339" width="13.85546875" style="2" customWidth="1"/>
    <col min="14340" max="14340" width="1.5703125" style="2" customWidth="1"/>
    <col min="14341" max="14348" width="13.85546875" style="2" customWidth="1"/>
    <col min="14349" max="14593" width="11.42578125" style="2"/>
    <col min="14594" max="14594" width="6.85546875" style="2" customWidth="1"/>
    <col min="14595" max="14595" width="13.85546875" style="2" customWidth="1"/>
    <col min="14596" max="14596" width="1.5703125" style="2" customWidth="1"/>
    <col min="14597" max="14604" width="13.85546875" style="2" customWidth="1"/>
    <col min="14605" max="14849" width="11.42578125" style="2"/>
    <col min="14850" max="14850" width="6.85546875" style="2" customWidth="1"/>
    <col min="14851" max="14851" width="13.85546875" style="2" customWidth="1"/>
    <col min="14852" max="14852" width="1.5703125" style="2" customWidth="1"/>
    <col min="14853" max="14860" width="13.85546875" style="2" customWidth="1"/>
    <col min="14861" max="15105" width="11.42578125" style="2"/>
    <col min="15106" max="15106" width="6.85546875" style="2" customWidth="1"/>
    <col min="15107" max="15107" width="13.85546875" style="2" customWidth="1"/>
    <col min="15108" max="15108" width="1.5703125" style="2" customWidth="1"/>
    <col min="15109" max="15116" width="13.85546875" style="2" customWidth="1"/>
    <col min="15117" max="15361" width="11.42578125" style="2"/>
    <col min="15362" max="15362" width="6.85546875" style="2" customWidth="1"/>
    <col min="15363" max="15363" width="13.85546875" style="2" customWidth="1"/>
    <col min="15364" max="15364" width="1.5703125" style="2" customWidth="1"/>
    <col min="15365" max="15372" width="13.85546875" style="2" customWidth="1"/>
    <col min="15373" max="15617" width="11.42578125" style="2"/>
    <col min="15618" max="15618" width="6.85546875" style="2" customWidth="1"/>
    <col min="15619" max="15619" width="13.85546875" style="2" customWidth="1"/>
    <col min="15620" max="15620" width="1.5703125" style="2" customWidth="1"/>
    <col min="15621" max="15628" width="13.85546875" style="2" customWidth="1"/>
    <col min="15629" max="15873" width="11.42578125" style="2"/>
    <col min="15874" max="15874" width="6.85546875" style="2" customWidth="1"/>
    <col min="15875" max="15875" width="13.85546875" style="2" customWidth="1"/>
    <col min="15876" max="15876" width="1.5703125" style="2" customWidth="1"/>
    <col min="15877" max="15884" width="13.85546875" style="2" customWidth="1"/>
    <col min="15885" max="16129" width="11.42578125" style="2"/>
    <col min="16130" max="16130" width="6.85546875" style="2" customWidth="1"/>
    <col min="16131" max="16131" width="13.85546875" style="2" customWidth="1"/>
    <col min="16132" max="16132" width="1.5703125" style="2" customWidth="1"/>
    <col min="16133" max="16140" width="13.85546875" style="2" customWidth="1"/>
    <col min="16141" max="16384" width="11.42578125" style="2"/>
  </cols>
  <sheetData>
    <row r="1" spans="2:12" ht="13.5" thickBot="1" x14ac:dyDescent="0.25"/>
    <row r="2" spans="2:12" ht="47.1" customHeight="1" thickBot="1" x14ac:dyDescent="0.25">
      <c r="B2" s="437" t="s">
        <v>190</v>
      </c>
      <c r="C2" s="438"/>
      <c r="D2" s="438"/>
      <c r="E2" s="438"/>
      <c r="F2" s="438"/>
      <c r="G2" s="438"/>
      <c r="H2" s="438"/>
      <c r="I2" s="438"/>
      <c r="J2" s="438"/>
      <c r="K2" s="438"/>
      <c r="L2" s="439"/>
    </row>
    <row r="3" spans="2:12" s="1" customFormat="1" ht="13.5" thickBot="1" x14ac:dyDescent="0.25"/>
    <row r="4" spans="2:12" s="1" customFormat="1" ht="14.45" customHeight="1" x14ac:dyDescent="0.2">
      <c r="B4" s="536" t="s">
        <v>191</v>
      </c>
      <c r="C4" s="537"/>
      <c r="D4" s="537"/>
      <c r="E4" s="537"/>
      <c r="F4" s="537"/>
      <c r="G4" s="537"/>
      <c r="H4" s="537"/>
      <c r="I4" s="537"/>
      <c r="J4" s="537"/>
      <c r="K4" s="537"/>
      <c r="L4" s="538"/>
    </row>
    <row r="5" spans="2:12" s="1" customFormat="1" ht="14.45" customHeight="1" x14ac:dyDescent="0.2">
      <c r="B5" s="539"/>
      <c r="C5" s="540"/>
      <c r="D5" s="540"/>
      <c r="E5" s="540"/>
      <c r="F5" s="540"/>
      <c r="G5" s="540"/>
      <c r="H5" s="540"/>
      <c r="I5" s="540"/>
      <c r="J5" s="540"/>
      <c r="K5" s="540"/>
      <c r="L5" s="541"/>
    </row>
    <row r="6" spans="2:12" s="1" customFormat="1" ht="14.45" customHeight="1" thickBot="1" x14ac:dyDescent="0.25">
      <c r="B6" s="542"/>
      <c r="C6" s="543"/>
      <c r="D6" s="543"/>
      <c r="E6" s="543"/>
      <c r="F6" s="543"/>
      <c r="G6" s="543"/>
      <c r="H6" s="543"/>
      <c r="I6" s="543"/>
      <c r="J6" s="543"/>
      <c r="K6" s="543"/>
      <c r="L6" s="544"/>
    </row>
    <row r="7" spans="2:12" ht="13.35" customHeight="1" x14ac:dyDescent="0.2"/>
    <row r="8" spans="2:12" ht="13.35" customHeigh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5EC1-5F5E-4654-81CC-0583F902F233}">
  <dimension ref="A1"/>
  <sheetViews>
    <sheetView workbookViewId="0">
      <selection activeCell="A15" sqref="A15"/>
    </sheetView>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4C13565E871A5438E191FAFE41302E1" ma:contentTypeVersion="18" ma:contentTypeDescription="Create a new document." ma:contentTypeScope="" ma:versionID="8f01fca381527c929a1767786c3a135c">
  <xsd:schema xmlns:xsd="http://www.w3.org/2001/XMLSchema" xmlns:xs="http://www.w3.org/2001/XMLSchema" xmlns:p="http://schemas.microsoft.com/office/2006/metadata/properties" xmlns:ns2="0f79fceb-66d8-4572-9d54-87c53054b5fb" xmlns:ns3="70eb63c2-14e5-4de1-bd9f-1dcb1af236d0" targetNamespace="http://schemas.microsoft.com/office/2006/metadata/properties" ma:root="true" ma:fieldsID="55dbf2509647be3b9e4383a69b66124c" ns2:_="" ns3:_="">
    <xsd:import namespace="0f79fceb-66d8-4572-9d54-87c53054b5fb"/>
    <xsd:import namespace="70eb63c2-14e5-4de1-bd9f-1dcb1af236d0"/>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DateTaken" minOccurs="0"/>
                <xsd:element ref="ns2:MediaServiceAutoTags" minOccurs="0"/>
                <xsd:element ref="ns2:MediaServiceOCR"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79fceb-66d8-4572-9d54-87c53054b5f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c775f1b-94bf-41d1-bd5b-4e74f3913fa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0eb63c2-14e5-4de1-bd9f-1dcb1af236d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45c7df7-dc78-44da-b7f4-34dc69d4b670}" ma:internalName="TaxCatchAll" ma:showField="CatchAllData" ma:web="70eb63c2-14e5-4de1-bd9f-1dcb1af236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70eb63c2-14e5-4de1-bd9f-1dcb1af236d0">
      <Value>6</Value>
      <Value>5</Value>
      <Value>4</Value>
      <Value>3</Value>
      <Value>7</Value>
    </TaxCatchAll>
    <lcf76f155ced4ddcb4097134ff3c332f xmlns="0f79fceb-66d8-4572-9d54-87c53054b5f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07E1CF2-F97B-416D-A258-66AD4F2AE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79fceb-66d8-4572-9d54-87c53054b5fb"/>
    <ds:schemaRef ds:uri="70eb63c2-14e5-4de1-bd9f-1dcb1af236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8CB1C5EC-9F01-4715-85A0-A28090E4B2B1}">
  <ds:schemaRefs>
    <ds:schemaRef ds:uri="http://schemas.microsoft.com/office/2006/metadata/properties"/>
    <ds:schemaRef ds:uri="http://schemas.microsoft.com/office/2006/documentManagement/types"/>
    <ds:schemaRef ds:uri="70eb63c2-14e5-4de1-bd9f-1dcb1af236d0"/>
    <ds:schemaRef ds:uri="http://schemas.openxmlformats.org/package/2006/metadata/core-properties"/>
    <ds:schemaRef ds:uri="http://www.w3.org/XML/1998/namespace"/>
    <ds:schemaRef ds:uri="http://purl.org/dc/terms/"/>
    <ds:schemaRef ds:uri="http://schemas.microsoft.com/office/infopath/2007/PartnerControls"/>
    <ds:schemaRef ds:uri="0f79fceb-66d8-4572-9d54-87c53054b5fb"/>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Header</vt:lpstr>
      <vt:lpstr>Data Requirements</vt:lpstr>
      <vt:lpstr>Data Requirements </vt:lpstr>
      <vt:lpstr>Overview</vt:lpstr>
      <vt:lpstr>EPI Summary</vt:lpstr>
      <vt:lpstr>Treaty Statistics_Prop</vt:lpstr>
      <vt:lpstr>Statistics_Non-Prop RISK XL </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Notes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2025-10-13T09:32:51Z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0x010100D4C13565E871A5438E191FAFE41302E1</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